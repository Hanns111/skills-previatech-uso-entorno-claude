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3" yWindow="-113" windowWidth="32281" windowHeight="17531" tabRatio="714" firstSheet="0" activeTab="1" autoFilterDateGrouping="1"/>
  </bookViews>
  <sheets>
    <sheet xmlns:r="http://schemas.openxmlformats.org/officeDocument/2006/relationships" name="ANALISIS_VIATICOS" sheetId="1" state="visible" r:id="rId1"/>
    <sheet xmlns:r="http://schemas.openxmlformats.org/officeDocument/2006/relationships" name="CHECKLIST_DOCUMENTOS" sheetId="2" state="visible" r:id="rId2"/>
    <sheet xmlns:r="http://schemas.openxmlformats.org/officeDocument/2006/relationships" name="OBSERVACIONES_REALIZAD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#,##0.00;\-#,##0.00;&quot;&quot;"/>
    <numFmt numFmtId="166" formatCode="#,##0.00;-#,##0.00;&quot;&quot;"/>
  </numFmts>
  <fonts count="78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1F4E79"/>
      <sz val="11"/>
    </font>
    <font>
      <name val="Arial"/>
      <family val="2"/>
      <b val="1"/>
      <color rgb="FF000000"/>
      <sz val="10"/>
    </font>
    <font>
      <name val="Calibri"/>
      <charset val="1"/>
      <family val="2"/>
      <color theme="1"/>
      <sz val="9"/>
    </font>
    <font>
      <name val="Arial"/>
      <family val="2"/>
      <color theme="0"/>
      <sz val="10"/>
    </font>
    <font>
      <name val="Calibri"/>
      <family val="2"/>
      <b val="1"/>
      <color rgb="FFFF0000"/>
      <sz val="11"/>
    </font>
    <font>
      <name val="Calibri"/>
      <family val="2"/>
      <color theme="1"/>
      <sz val="9"/>
      <scheme val="minor"/>
    </font>
    <font>
      <name val="Arial"/>
      <family val="2"/>
      <b val="1"/>
      <color theme="0"/>
      <sz val="11"/>
    </font>
    <font>
      <name val="Calibri"/>
      <charset val="1"/>
      <family val="2"/>
      <sz val="8"/>
    </font>
    <font>
      <name val="Calibri"/>
      <charset val="1"/>
      <family val="2"/>
      <b val="1"/>
      <color rgb="FF008000"/>
      <sz val="9"/>
    </font>
    <font>
      <name val="Calibri"/>
      <color rgb="FF000000"/>
      <sz val="9"/>
      <scheme val="minor"/>
    </font>
    <font>
      <name val="Calibri"/>
      <color rgb="FF000000"/>
      <sz val="9"/>
    </font>
    <font>
      <name val="Calibri"/>
      <color theme="1"/>
      <sz val="11"/>
    </font>
    <font>
      <name val="Arial"/>
      <b val="1"/>
      <color rgb="FFFFFFFF"/>
      <sz val="11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FF"/>
      <sz val="9"/>
    </font>
    <font>
      <name val="Arial"/>
      <b val="1"/>
      <color rgb="FFFF0000"/>
      <sz val="9"/>
    </font>
    <font>
      <name val="Arial"/>
      <b val="1"/>
      <color rgb="FF008000"/>
      <sz val="11"/>
    </font>
    <font>
      <name val="Arial"/>
      <b val="1"/>
      <color rgb="FF008000"/>
      <sz val="10"/>
    </font>
    <font>
      <name val="Arial"/>
      <b val="1"/>
      <color rgb="FFFFFFFF"/>
      <sz val="9"/>
    </font>
    <font>
      <name val="Arial"/>
      <color rgb="FF1F497D"/>
      <sz val="8"/>
    </font>
    <font>
      <name val="Arial"/>
      <b val="1"/>
      <color rgb="FF1F497D"/>
      <sz val="8"/>
    </font>
    <font>
      <name val="Arial"/>
      <color theme="1"/>
      <sz val="8"/>
    </font>
    <font>
      <name val="Arial"/>
      <color rgb="FFFFFFFF"/>
      <sz val="8"/>
    </font>
    <font>
      <name val="Arial"/>
      <b val="1"/>
      <color rgb="FFFFFFFF"/>
      <sz val="8"/>
    </font>
    <font>
      <name val="Arial"/>
      <b val="1"/>
      <color rgb="FFFFFFFF"/>
      <sz val="10"/>
    </font>
    <font>
      <name val="Arial"/>
      <color rgb="FF0000FF"/>
      <sz val="8"/>
    </font>
    <font>
      <name val="Arial"/>
      <b val="1"/>
      <color rgb="FFFFFFFF"/>
      <sz val="12"/>
    </font>
    <font>
      <name val="Arial"/>
      <i val="1"/>
      <color rgb="FFFFFFFF"/>
      <sz val="9"/>
    </font>
    <font>
      <name val="Arial"/>
      <color theme="1"/>
      <sz val="9"/>
    </font>
    <font>
      <name val="Arial"/>
      <b val="1"/>
      <color theme="1"/>
      <sz val="9"/>
    </font>
    <font>
      <name val="Arial"/>
      <b val="1"/>
      <color rgb="FF000000"/>
      <sz val="8"/>
    </font>
    <font>
      <name val="Arial"/>
      <b val="1"/>
      <color rgb="FF1F4E79"/>
      <sz val="9"/>
    </font>
    <font>
      <name val="Arial"/>
      <color theme="1"/>
      <sz val="7"/>
    </font>
    <font>
      <name val="Arial"/>
      <color rgb="FFFF0000"/>
      <sz val="8"/>
    </font>
    <font>
      <name val="Arial"/>
      <i val="1"/>
      <color rgb="FF666666"/>
      <sz val="8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FFFF"/>
      <sz val="11"/>
    </font>
    <font>
      <name val="Arial"/>
      <color rgb="FFFF8C00"/>
      <sz val="8"/>
    </font>
    <font>
      <name val="Arial"/>
      <b val="1"/>
      <color rgb="FF008000"/>
      <sz val="9"/>
    </font>
    <font>
      <name val="Arial"/>
      <color rgb="FF008000"/>
      <sz val="8"/>
    </font>
    <font>
      <name val="Arial"/>
      <color rgb="FF1F497D"/>
      <sz val="7"/>
    </font>
    <font>
      <name val="Arial"/>
      <color rgb="FFFF0000"/>
      <sz val="7"/>
    </font>
    <font>
      <name val="Calibri"/>
      <charset val="1"/>
      <family val="2"/>
      <color rgb="FF008000"/>
      <sz val="11"/>
    </font>
    <font>
      <name val="Arial"/>
      <color rgb="FF008000"/>
      <sz val="7"/>
    </font>
    <font>
      <name val="Arial"/>
      <color rgb="FFFF8C00"/>
      <sz val="7"/>
    </font>
    <font>
      <name val="Arial"/>
      <color rgb="FF808080"/>
      <sz val="7"/>
    </font>
    <font>
      <name val="Calibri"/>
      <charset val="1"/>
      <family val="2"/>
      <b val="1"/>
      <color rgb="FFFFFFFF"/>
      <sz val="10"/>
    </font>
    <font>
      <name val="Arial"/>
      <b val="1"/>
      <color rgb="FFC00000"/>
      <sz val="10"/>
    </font>
    <font>
      <name val="Arial"/>
      <b val="1"/>
      <color rgb="FF7030A0"/>
      <sz val="10"/>
    </font>
    <font>
      <name val="Calibri"/>
      <charset val="1"/>
      <family val="2"/>
      <b val="1"/>
      <color theme="1"/>
      <sz val="9"/>
    </font>
    <font>
      <name val="Calibri"/>
      <charset val="1"/>
      <family val="2"/>
      <color rgb="FF008000"/>
      <sz val="9"/>
    </font>
    <font>
      <name val="Calibri"/>
      <charset val="1"/>
      <family val="2"/>
      <b val="1"/>
      <color rgb="FF008000"/>
      <sz val="11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color rgb="FFC00000"/>
      <sz val="11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11"/>
    </font>
    <font>
      <name val="Calibri"/>
      <family val="2"/>
      <b val="1"/>
      <color rgb="FFFFFFFF"/>
      <sz val="9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FFFFF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808080"/>
      <sz val="10"/>
    </font>
  </fonts>
  <fills count="2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rgb="FF003366"/>
      </patternFill>
    </fill>
    <fill>
      <patternFill patternType="solid">
        <fgColor rgb="FF1F49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00C00000"/>
      </patternFill>
    </fill>
  </fills>
  <borders count="7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808080"/>
      </left>
      <right style="thin">
        <color rgb="FF808080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rgb="FF808080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/>
      <top style="medium">
        <color auto="1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/>
      <top style="medium">
        <color auto="1"/>
      </top>
      <bottom style="medium">
        <color auto="1"/>
      </bottom>
      <diagonal/>
    </border>
    <border>
      <left style="thin">
        <color rgb="FF808080"/>
      </left>
      <right/>
      <top style="medium">
        <color auto="1"/>
      </top>
      <bottom/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medium">
        <color auto="1"/>
      </top>
      <bottom/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thin">
        <color rgb="FFD9D9D9"/>
      </bottom>
      <diagonal/>
    </border>
    <border>
      <left style="thin">
        <color rgb="FF808080"/>
      </left>
      <right style="thin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>
        <color rgb="FF808080"/>
      </right>
      <top style="thin">
        <color rgb="FFD9D9D9"/>
      </top>
      <bottom/>
      <diagonal/>
    </border>
    <border>
      <left style="thin">
        <color rgb="FF808080"/>
      </left>
      <right/>
      <top style="medium">
        <color auto="1"/>
      </top>
      <bottom style="thin">
        <color rgb="FFD9D9D9"/>
      </bottom>
      <diagonal/>
    </border>
    <border>
      <left style="thin">
        <color rgb="FF808080"/>
      </left>
      <right/>
      <top style="thin">
        <color rgb="FFD9D9D9"/>
      </top>
      <bottom style="thin">
        <color rgb="FFD9D9D9"/>
      </bottom>
      <diagonal/>
    </border>
    <border>
      <left style="thin">
        <color rgb="FF808080"/>
      </left>
      <right/>
      <top style="thin">
        <color rgb="FFD9D9D9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808080"/>
      </right>
      <top style="medium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medium">
        <color auto="1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8">
    <xf numFmtId="0" fontId="0" fillId="0" borderId="0"/>
    <xf numFmtId="43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/>
  </cellStyleXfs>
  <cellXfs count="316">
    <xf numFmtId="0" fontId="0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8" fillId="2" borderId="0" pivotButton="0" quotePrefix="0" xfId="0"/>
    <xf numFmtId="14" fontId="9" fillId="3" borderId="0" pivotButton="0" quotePrefix="0" xfId="0"/>
    <xf numFmtId="0" fontId="11" fillId="2" borderId="0" pivotButton="0" quotePrefix="0" xfId="0"/>
    <xf numFmtId="0" fontId="12" fillId="0" borderId="0" pivotButton="0" quotePrefix="0" xfId="5"/>
    <xf numFmtId="0" fontId="1" fillId="0" borderId="0" pivotButton="0" quotePrefix="0" xfId="6"/>
    <xf numFmtId="0" fontId="8" fillId="0" borderId="0" pivotButton="0" quotePrefix="0" xfId="6"/>
    <xf numFmtId="0" fontId="12" fillId="0" borderId="0" applyAlignment="1" pivotButton="0" quotePrefix="0" xfId="5">
      <alignment horizontal="right"/>
    </xf>
    <xf numFmtId="164" fontId="5" fillId="2" borderId="0" pivotButton="0" quotePrefix="0" xfId="1"/>
    <xf numFmtId="164" fontId="10" fillId="2" borderId="4" pivotButton="0" quotePrefix="0" xfId="1"/>
    <xf numFmtId="0" fontId="13" fillId="4" borderId="3" pivotButton="0" quotePrefix="0" xfId="0"/>
    <xf numFmtId="0" fontId="1" fillId="2" borderId="0" pivotButton="0" quotePrefix="0" xfId="6"/>
    <xf numFmtId="0" fontId="0" fillId="0" borderId="0" applyAlignment="1" pivotButton="0" quotePrefix="0" xfId="0">
      <alignment horizontal="center"/>
    </xf>
    <xf numFmtId="0" fontId="0" fillId="7" borderId="0" pivotButton="0" quotePrefix="0" xfId="0"/>
    <xf numFmtId="0" fontId="0" fillId="8" borderId="0" pivotButton="0" quotePrefix="0" xfId="0"/>
    <xf numFmtId="0" fontId="16" fillId="0" borderId="0" pivotButton="0" quotePrefix="0" xfId="5"/>
    <xf numFmtId="14" fontId="17" fillId="3" borderId="0" pivotButton="0" quotePrefix="0" xfId="0"/>
    <xf numFmtId="49" fontId="18" fillId="0" borderId="0" pivotButton="0" quotePrefix="0" xfId="0"/>
    <xf numFmtId="0" fontId="19" fillId="10" borderId="0" applyAlignment="1" pivotButton="0" quotePrefix="0" xfId="0">
      <alignment horizontal="center"/>
    </xf>
    <xf numFmtId="0" fontId="0" fillId="10" borderId="0" pivotButton="0" quotePrefix="0" xfId="0"/>
    <xf numFmtId="0" fontId="21" fillId="11" borderId="0" pivotButton="0" quotePrefix="0" xfId="0"/>
    <xf numFmtId="0" fontId="22" fillId="5" borderId="0" pivotButton="0" quotePrefix="0" xfId="0"/>
    <xf numFmtId="0" fontId="21" fillId="12" borderId="0" pivotButton="0" quotePrefix="0" xfId="0"/>
    <xf numFmtId="0" fontId="24" fillId="12" borderId="0" pivotButton="0" quotePrefix="0" xfId="0"/>
    <xf numFmtId="0" fontId="20" fillId="12" borderId="0" pivotButton="0" quotePrefix="0" xfId="0"/>
    <xf numFmtId="0" fontId="25" fillId="12" borderId="0" pivotButton="0" quotePrefix="0" xfId="0"/>
    <xf numFmtId="0" fontId="24" fillId="11" borderId="0" pivotButton="0" quotePrefix="0" xfId="0"/>
    <xf numFmtId="0" fontId="20" fillId="11" borderId="0" pivotButton="0" quotePrefix="0" xfId="0"/>
    <xf numFmtId="0" fontId="25" fillId="11" borderId="0" pivotButton="0" quotePrefix="0" xfId="0"/>
    <xf numFmtId="0" fontId="26" fillId="7" borderId="0" applyAlignment="1" pivotButton="0" quotePrefix="0" xfId="0">
      <alignment horizontal="center"/>
    </xf>
    <xf numFmtId="0" fontId="28" fillId="12" borderId="0" pivotButton="0" quotePrefix="0" xfId="0"/>
    <xf numFmtId="0" fontId="0" fillId="12" borderId="0" pivotButton="0" quotePrefix="0" xfId="0"/>
    <xf numFmtId="0" fontId="29" fillId="0" borderId="0" pivotButton="0" quotePrefix="0" xfId="0"/>
    <xf numFmtId="0" fontId="29" fillId="12" borderId="0" pivotButton="0" quotePrefix="0" xfId="0"/>
    <xf numFmtId="0" fontId="25" fillId="12" borderId="0" applyAlignment="1" pivotButton="0" quotePrefix="0" xfId="0">
      <alignment horizontal="center"/>
    </xf>
    <xf numFmtId="0" fontId="28" fillId="13" borderId="0" pivotButton="0" quotePrefix="0" xfId="0"/>
    <xf numFmtId="0" fontId="0" fillId="13" borderId="0" pivotButton="0" quotePrefix="0" xfId="0"/>
    <xf numFmtId="0" fontId="29" fillId="13" borderId="0" pivotButton="0" quotePrefix="0" xfId="0"/>
    <xf numFmtId="0" fontId="25" fillId="13" borderId="0" applyAlignment="1" pivotButton="0" quotePrefix="0" xfId="0">
      <alignment horizontal="center"/>
    </xf>
    <xf numFmtId="0" fontId="31" fillId="10" borderId="0" pivotButton="0" quotePrefix="0" xfId="0"/>
    <xf numFmtId="0" fontId="30" fillId="10" borderId="0" pivotButton="0" quotePrefix="0" xfId="0"/>
    <xf numFmtId="0" fontId="32" fillId="1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33" fillId="5" borderId="0" pivotButton="0" quotePrefix="0" xfId="0"/>
    <xf numFmtId="0" fontId="27" fillId="12" borderId="0" applyAlignment="1" pivotButton="0" quotePrefix="0" xfId="0">
      <alignment horizontal="center"/>
    </xf>
    <xf numFmtId="49" fontId="22" fillId="11" borderId="0" pivotButton="0" quotePrefix="0" xfId="0"/>
    <xf numFmtId="0" fontId="34" fillId="14" borderId="0" applyAlignment="1" pivotButton="0" quotePrefix="0" xfId="0">
      <alignment horizontal="center"/>
    </xf>
    <xf numFmtId="0" fontId="0" fillId="14" borderId="0" pivotButton="0" quotePrefix="0" xfId="0"/>
    <xf numFmtId="0" fontId="35" fillId="14" borderId="0" applyAlignment="1" pivotButton="0" quotePrefix="0" xfId="0">
      <alignment horizontal="center"/>
    </xf>
    <xf numFmtId="0" fontId="37" fillId="0" borderId="0" pivotButton="0" quotePrefix="0" xfId="0"/>
    <xf numFmtId="0" fontId="39" fillId="16" borderId="0" pivotButton="0" quotePrefix="0" xfId="0"/>
    <xf numFmtId="0" fontId="0" fillId="16" borderId="0" pivotButton="0" quotePrefix="0" xfId="0"/>
    <xf numFmtId="0" fontId="42" fillId="0" borderId="0" pivotButton="0" quotePrefix="0" xfId="0"/>
    <xf numFmtId="0" fontId="0" fillId="16" borderId="1" pivotButton="0" quotePrefix="0" xfId="0"/>
    <xf numFmtId="0" fontId="36" fillId="0" borderId="1" pivotButton="0" quotePrefix="0" xfId="0"/>
    <xf numFmtId="0" fontId="29" fillId="0" borderId="1" applyAlignment="1" pivotButton="0" quotePrefix="0" xfId="0">
      <alignment horizontal="center"/>
    </xf>
    <xf numFmtId="0" fontId="27" fillId="0" borderId="1" applyAlignment="1" pivotButton="0" quotePrefix="0" xfId="0">
      <alignment horizontal="center"/>
    </xf>
    <xf numFmtId="0" fontId="40" fillId="0" borderId="1" applyAlignment="1" pivotButton="0" quotePrefix="0" xfId="0">
      <alignment horizontal="center"/>
    </xf>
    <xf numFmtId="0" fontId="38" fillId="15" borderId="5" applyAlignment="1" pivotButton="0" quotePrefix="0" xfId="0">
      <alignment horizontal="center"/>
    </xf>
    <xf numFmtId="0" fontId="36" fillId="0" borderId="6" pivotButton="0" quotePrefix="0" xfId="0"/>
    <xf numFmtId="0" fontId="29" fillId="0" borderId="6" applyAlignment="1" pivotButton="0" quotePrefix="0" xfId="0">
      <alignment horizontal="center"/>
    </xf>
    <xf numFmtId="0" fontId="27" fillId="0" borderId="6" applyAlignment="1" pivotButton="0" quotePrefix="0" xfId="0">
      <alignment horizontal="center"/>
    </xf>
    <xf numFmtId="0" fontId="40" fillId="0" borderId="6" applyAlignment="1" pivotButton="0" quotePrefix="0" xfId="0">
      <alignment horizontal="center"/>
    </xf>
    <xf numFmtId="0" fontId="38" fillId="15" borderId="7" applyAlignment="1" pivotButton="0" quotePrefix="0" xfId="0">
      <alignment horizontal="center"/>
    </xf>
    <xf numFmtId="0" fontId="39" fillId="16" borderId="8" pivotButton="0" quotePrefix="0" xfId="0"/>
    <xf numFmtId="0" fontId="36" fillId="0" borderId="8" applyAlignment="1" pivotButton="0" quotePrefix="0" xfId="0">
      <alignment horizontal="center"/>
    </xf>
    <xf numFmtId="0" fontId="36" fillId="0" borderId="9" applyAlignment="1" pivotButton="0" quotePrefix="0" xfId="0">
      <alignment horizontal="center"/>
    </xf>
    <xf numFmtId="0" fontId="43" fillId="0" borderId="0" pivotButton="0" quotePrefix="0" xfId="0"/>
    <xf numFmtId="0" fontId="9" fillId="0" borderId="0" pivotButton="0" quotePrefix="0" xfId="0"/>
    <xf numFmtId="49" fontId="0" fillId="8" borderId="0" pivotButton="0" quotePrefix="0" xfId="0"/>
    <xf numFmtId="49" fontId="21" fillId="12" borderId="0" pivotButton="0" quotePrefix="0" xfId="0"/>
    <xf numFmtId="49" fontId="21" fillId="11" borderId="0" pivotButton="0" quotePrefix="0" xfId="0"/>
    <xf numFmtId="49" fontId="23" fillId="12" borderId="0" pivotButton="0" quotePrefix="0" xfId="0"/>
    <xf numFmtId="0" fontId="21" fillId="17" borderId="0" pivotButton="0" quotePrefix="0" xfId="0"/>
    <xf numFmtId="49" fontId="22" fillId="17" borderId="0" pivotButton="0" quotePrefix="0" xfId="0"/>
    <xf numFmtId="0" fontId="20" fillId="17" borderId="0" pivotButton="0" quotePrefix="0" xfId="0"/>
    <xf numFmtId="0" fontId="46" fillId="13" borderId="0" pivotButton="0" quotePrefix="0" xfId="0"/>
    <xf numFmtId="0" fontId="46" fillId="12" borderId="0" pivotButton="0" quotePrefix="0" xfId="0"/>
    <xf numFmtId="0" fontId="46" fillId="10" borderId="0" pivotButton="0" quotePrefix="0" xfId="0"/>
    <xf numFmtId="0" fontId="24" fillId="17" borderId="0" pivotButton="0" quotePrefix="0" xfId="0"/>
    <xf numFmtId="0" fontId="47" fillId="17" borderId="0" applyAlignment="1" pivotButton="0" quotePrefix="0" xfId="0">
      <alignment horizontal="center"/>
    </xf>
    <xf numFmtId="0" fontId="48" fillId="12" borderId="0" pivotButton="0" quotePrefix="0" xfId="0"/>
    <xf numFmtId="0" fontId="51" fillId="0" borderId="0" pivotButton="0" quotePrefix="0" xfId="0"/>
    <xf numFmtId="0" fontId="38" fillId="15" borderId="15" applyAlignment="1" pivotButton="0" quotePrefix="0" xfId="0">
      <alignment horizontal="center"/>
    </xf>
    <xf numFmtId="0" fontId="38" fillId="15" borderId="16" applyAlignment="1" pivotButton="0" quotePrefix="0" xfId="0">
      <alignment horizontal="center"/>
    </xf>
    <xf numFmtId="0" fontId="0" fillId="16" borderId="12" pivotButton="0" quotePrefix="0" xfId="0"/>
    <xf numFmtId="0" fontId="0" fillId="13" borderId="12" pivotButton="0" quotePrefix="0" xfId="0"/>
    <xf numFmtId="0" fontId="41" fillId="0" borderId="12" pivotButton="0" quotePrefix="0" xfId="0"/>
    <xf numFmtId="0" fontId="0" fillId="13" borderId="10" pivotButton="0" quotePrefix="0" xfId="0"/>
    <xf numFmtId="0" fontId="0" fillId="16" borderId="11" pivotButton="0" quotePrefix="0" xfId="0"/>
    <xf numFmtId="0" fontId="49" fillId="0" borderId="11" pivotButton="0" quotePrefix="0" xfId="0"/>
    <xf numFmtId="0" fontId="49" fillId="0" borderId="17" pivotButton="0" quotePrefix="0" xfId="0"/>
    <xf numFmtId="0" fontId="38" fillId="15" borderId="14" applyAlignment="1" pivotButton="0" quotePrefix="0" xfId="0">
      <alignment horizontal="center"/>
    </xf>
    <xf numFmtId="0" fontId="0" fillId="16" borderId="18" pivotButton="0" quotePrefix="0" xfId="0"/>
    <xf numFmtId="0" fontId="50" fillId="0" borderId="18" pivotButton="0" quotePrefix="0" xfId="0"/>
    <xf numFmtId="0" fontId="52" fillId="0" borderId="18" pivotButton="0" quotePrefix="0" xfId="0"/>
    <xf numFmtId="0" fontId="53" fillId="0" borderId="18" pivotButton="0" quotePrefix="0" xfId="0"/>
    <xf numFmtId="0" fontId="54" fillId="0" borderId="18" pivotButton="0" quotePrefix="0" xfId="0"/>
    <xf numFmtId="0" fontId="54" fillId="0" borderId="19" pivotButton="0" quotePrefix="0" xfId="0"/>
    <xf numFmtId="0" fontId="49" fillId="0" borderId="13" pivotButton="0" quotePrefix="0" xfId="0"/>
    <xf numFmtId="0" fontId="54" fillId="0" borderId="20" pivotButton="0" quotePrefix="0" xfId="0"/>
    <xf numFmtId="0" fontId="32" fillId="7" borderId="0" applyAlignment="1" pivotButton="0" quotePrefix="0" xfId="0">
      <alignment horizontal="center"/>
    </xf>
    <xf numFmtId="0" fontId="55" fillId="18" borderId="0" pivotButton="0" quotePrefix="0" xfId="0"/>
    <xf numFmtId="0" fontId="0" fillId="18" borderId="0" pivotButton="0" quotePrefix="0" xfId="0"/>
    <xf numFmtId="49" fontId="0" fillId="0" borderId="0" pivotButton="0" quotePrefix="0" xfId="0"/>
    <xf numFmtId="0" fontId="23" fillId="0" borderId="0" pivotButton="0" quotePrefix="0" xfId="0"/>
    <xf numFmtId="0" fontId="32" fillId="9" borderId="0" pivotButton="0" quotePrefix="0" xfId="0"/>
    <xf numFmtId="0" fontId="0" fillId="9" borderId="0" pivotButton="0" quotePrefix="0" xfId="0"/>
    <xf numFmtId="0" fontId="47" fillId="0" borderId="0" pivotButton="0" quotePrefix="0" xfId="0"/>
    <xf numFmtId="0" fontId="0" fillId="19" borderId="0" pivotButton="0" quotePrefix="0" xfId="0"/>
    <xf numFmtId="0" fontId="56" fillId="8" borderId="0" pivotButton="0" quotePrefix="0" xfId="0"/>
    <xf numFmtId="0" fontId="44" fillId="8" borderId="0" pivotButton="0" quotePrefix="0" xfId="0"/>
    <xf numFmtId="0" fontId="57" fillId="8" borderId="0" pivotButton="0" quotePrefix="0" xfId="0"/>
    <xf numFmtId="0" fontId="45" fillId="18" borderId="0" pivotButton="0" quotePrefix="0" xfId="0"/>
    <xf numFmtId="0" fontId="58" fillId="0" borderId="0" pivotButton="0" quotePrefix="0" xfId="0"/>
    <xf numFmtId="0" fontId="15" fillId="0" borderId="0" pivotButton="0" quotePrefix="0" xfId="0"/>
    <xf numFmtId="0" fontId="58" fillId="20" borderId="0" pivotButton="0" quotePrefix="0" xfId="0"/>
    <xf numFmtId="0" fontId="44" fillId="20" borderId="0" pivotButton="0" quotePrefix="0" xfId="0"/>
    <xf numFmtId="0" fontId="0" fillId="20" borderId="0" pivotButton="0" quotePrefix="0" xfId="0"/>
    <xf numFmtId="0" fontId="59" fillId="0" borderId="0" pivotButton="0" quotePrefix="0" xfId="0"/>
    <xf numFmtId="0" fontId="15" fillId="17" borderId="0" pivotButton="0" quotePrefix="0" xfId="0"/>
    <xf numFmtId="0" fontId="60" fillId="17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2" fillId="0" borderId="0" pivotButton="0" quotePrefix="0" xfId="0"/>
    <xf numFmtId="0" fontId="0" fillId="2" borderId="1" pivotButton="0" quotePrefix="0" xfId="0"/>
    <xf numFmtId="0" fontId="0" fillId="2" borderId="6" pivotButton="0" quotePrefix="0" xfId="0"/>
    <xf numFmtId="49" fontId="9" fillId="3" borderId="0" pivotButton="0" quotePrefix="0" xfId="0"/>
    <xf numFmtId="49" fontId="9" fillId="3" borderId="0" applyAlignment="1" pivotButton="0" quotePrefix="0" xfId="0">
      <alignment horizontal="left"/>
    </xf>
    <xf numFmtId="49" fontId="37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32" fillId="14" borderId="0" applyAlignment="1" pivotButton="0" quotePrefix="0" xfId="2">
      <alignment horizontal="center" vertical="center" wrapText="1"/>
    </xf>
    <xf numFmtId="0" fontId="32" fillId="14" borderId="0" applyAlignment="1" pivotButton="0" quotePrefix="0" xfId="2">
      <alignment horizontal="center"/>
    </xf>
    <xf numFmtId="0" fontId="64" fillId="7" borderId="0" pivotButton="0" quotePrefix="0" xfId="0"/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65" fillId="7" borderId="0" pivotButton="0" quotePrefix="0" xfId="0"/>
    <xf numFmtId="0" fontId="68" fillId="0" borderId="0" pivotButton="0" quotePrefix="0" xfId="0"/>
    <xf numFmtId="0" fontId="65" fillId="7" borderId="0" applyAlignment="1" pivotButton="0" quotePrefix="0" xfId="0">
      <alignment horizontal="center"/>
    </xf>
    <xf numFmtId="0" fontId="69" fillId="7" borderId="0" pivotButton="0" quotePrefix="0" xfId="0"/>
    <xf numFmtId="0" fontId="70" fillId="0" borderId="0" pivotButton="0" quotePrefix="0" xfId="0"/>
    <xf numFmtId="0" fontId="69" fillId="7" borderId="36" applyAlignment="1" pivotButton="0" quotePrefix="0" xfId="0">
      <alignment horizontal="center"/>
    </xf>
    <xf numFmtId="0" fontId="69" fillId="7" borderId="23" applyAlignment="1" pivotButton="0" quotePrefix="0" xfId="0">
      <alignment horizontal="center"/>
    </xf>
    <xf numFmtId="0" fontId="69" fillId="7" borderId="48" applyAlignment="1" pivotButton="0" quotePrefix="0" xfId="0">
      <alignment horizontal="center"/>
    </xf>
    <xf numFmtId="0" fontId="69" fillId="7" borderId="50" applyAlignment="1" pivotButton="0" quotePrefix="0" xfId="0">
      <alignment horizontal="center"/>
    </xf>
    <xf numFmtId="0" fontId="69" fillId="7" borderId="40" applyAlignment="1" pivotButton="0" quotePrefix="0" xfId="0">
      <alignment horizontal="center"/>
    </xf>
    <xf numFmtId="0" fontId="70" fillId="0" borderId="37" applyAlignment="1" pivotButton="0" quotePrefix="0" xfId="0">
      <alignment horizontal="center"/>
    </xf>
    <xf numFmtId="0" fontId="70" fillId="0" borderId="27" applyAlignment="1" pivotButton="0" quotePrefix="0" xfId="0">
      <alignment horizontal="center"/>
    </xf>
    <xf numFmtId="0" fontId="70" fillId="0" borderId="27" pivotButton="0" quotePrefix="0" xfId="0"/>
    <xf numFmtId="0" fontId="70" fillId="0" borderId="28" pivotButton="0" quotePrefix="0" xfId="0"/>
    <xf numFmtId="165" fontId="70" fillId="0" borderId="54" applyAlignment="1" pivotButton="0" quotePrefix="0" xfId="0">
      <alignment horizontal="center"/>
    </xf>
    <xf numFmtId="165" fontId="70" fillId="0" borderId="51" applyAlignment="1" pivotButton="0" quotePrefix="0" xfId="0">
      <alignment horizontal="right"/>
    </xf>
    <xf numFmtId="0" fontId="70" fillId="0" borderId="26" pivotButton="0" quotePrefix="0" xfId="0"/>
    <xf numFmtId="0" fontId="70" fillId="0" borderId="41" pivotButton="0" quotePrefix="0" xfId="0"/>
    <xf numFmtId="0" fontId="70" fillId="0" borderId="38" applyAlignment="1" pivotButton="0" quotePrefix="0" xfId="0">
      <alignment horizontal="center"/>
    </xf>
    <xf numFmtId="0" fontId="70" fillId="0" borderId="30" applyAlignment="1" pivotButton="0" quotePrefix="0" xfId="0">
      <alignment horizontal="center"/>
    </xf>
    <xf numFmtId="0" fontId="70" fillId="0" borderId="30" pivotButton="0" quotePrefix="0" xfId="0"/>
    <xf numFmtId="0" fontId="70" fillId="0" borderId="31" pivotButton="0" quotePrefix="0" xfId="0"/>
    <xf numFmtId="165" fontId="70" fillId="0" borderId="55" applyAlignment="1" pivotButton="0" quotePrefix="0" xfId="0">
      <alignment horizontal="center"/>
    </xf>
    <xf numFmtId="165" fontId="70" fillId="0" borderId="52" applyAlignment="1" pivotButton="0" quotePrefix="0" xfId="0">
      <alignment horizontal="right"/>
    </xf>
    <xf numFmtId="0" fontId="70" fillId="0" borderId="29" pivotButton="0" quotePrefix="0" xfId="0"/>
    <xf numFmtId="0" fontId="70" fillId="0" borderId="42" pivotButton="0" quotePrefix="0" xfId="0"/>
    <xf numFmtId="0" fontId="70" fillId="0" borderId="39" applyAlignment="1" pivotButton="0" quotePrefix="0" xfId="0">
      <alignment horizontal="center"/>
    </xf>
    <xf numFmtId="0" fontId="70" fillId="0" borderId="33" applyAlignment="1" pivotButton="0" quotePrefix="0" xfId="0">
      <alignment horizontal="center"/>
    </xf>
    <xf numFmtId="0" fontId="70" fillId="0" borderId="33" pivotButton="0" quotePrefix="0" xfId="0"/>
    <xf numFmtId="0" fontId="69" fillId="7" borderId="22" applyAlignment="1" pivotButton="0" quotePrefix="0" xfId="0">
      <alignment horizontal="right"/>
    </xf>
    <xf numFmtId="0" fontId="69" fillId="7" borderId="22" applyAlignment="1" pivotButton="0" quotePrefix="0" xfId="0">
      <alignment horizontal="center"/>
    </xf>
    <xf numFmtId="165" fontId="69" fillId="7" borderId="47" applyAlignment="1" pivotButton="0" quotePrefix="0" xfId="0">
      <alignment horizontal="center"/>
    </xf>
    <xf numFmtId="165" fontId="69" fillId="7" borderId="49" applyAlignment="1" pivotButton="0" quotePrefix="0" xfId="0">
      <alignment horizontal="right"/>
    </xf>
    <xf numFmtId="0" fontId="70" fillId="0" borderId="36" pivotButton="0" quotePrefix="0" xfId="0"/>
    <xf numFmtId="0" fontId="70" fillId="0" borderId="23" pivotButton="0" quotePrefix="0" xfId="0"/>
    <xf numFmtId="4" fontId="70" fillId="0" borderId="23" applyAlignment="1" pivotButton="0" quotePrefix="0" xfId="0">
      <alignment horizontal="center"/>
    </xf>
    <xf numFmtId="0" fontId="70" fillId="0" borderId="40" pivotButton="0" quotePrefix="0" xfId="0"/>
    <xf numFmtId="165" fontId="70" fillId="0" borderId="27" applyAlignment="1" pivotButton="0" quotePrefix="0" xfId="0">
      <alignment horizontal="center"/>
    </xf>
    <xf numFmtId="165" fontId="70" fillId="0" borderId="27" applyAlignment="1" pivotButton="0" quotePrefix="0" xfId="0">
      <alignment horizontal="right"/>
    </xf>
    <xf numFmtId="165" fontId="70" fillId="0" borderId="30" applyAlignment="1" pivotButton="0" quotePrefix="0" xfId="0">
      <alignment horizontal="center"/>
    </xf>
    <xf numFmtId="165" fontId="70" fillId="0" borderId="30" applyAlignment="1" pivotButton="0" quotePrefix="0" xfId="0">
      <alignment horizontal="right"/>
    </xf>
    <xf numFmtId="0" fontId="71" fillId="0" borderId="65" applyAlignment="1" pivotButton="0" quotePrefix="0" xfId="0">
      <alignment horizontal="right"/>
    </xf>
    <xf numFmtId="0" fontId="70" fillId="0" borderId="1" pivotButton="0" quotePrefix="0" xfId="0"/>
    <xf numFmtId="165" fontId="71" fillId="0" borderId="0" pivotButton="0" quotePrefix="0" xfId="0"/>
    <xf numFmtId="0" fontId="73" fillId="0" borderId="67" applyAlignment="1" pivotButton="0" quotePrefix="0" xfId="0">
      <alignment horizontal="right"/>
    </xf>
    <xf numFmtId="0" fontId="70" fillId="0" borderId="68" pivotButton="0" quotePrefix="0" xfId="0"/>
    <xf numFmtId="165" fontId="73" fillId="0" borderId="0" pivotButton="0" quotePrefix="0" xfId="0"/>
    <xf numFmtId="0" fontId="69" fillId="7" borderId="70" pivotButton="0" quotePrefix="0" xfId="0"/>
    <xf numFmtId="0" fontId="70" fillId="0" borderId="73" pivotButton="0" quotePrefix="0" xfId="0"/>
    <xf numFmtId="0" fontId="70" fillId="0" borderId="2" pivotButton="0" quotePrefix="0" xfId="0"/>
    <xf numFmtId="4" fontId="70" fillId="0" borderId="2" pivotButton="0" quotePrefix="0" xfId="0"/>
    <xf numFmtId="0" fontId="70" fillId="0" borderId="74" pivotButton="0" quotePrefix="0" xfId="0"/>
    <xf numFmtId="0" fontId="69" fillId="7" borderId="58" pivotButton="0" quotePrefix="0" xfId="0"/>
    <xf numFmtId="0" fontId="71" fillId="0" borderId="60" pivotButton="0" quotePrefix="0" xfId="0"/>
    <xf numFmtId="0" fontId="70" fillId="0" borderId="25" pivotButton="0" quotePrefix="0" xfId="0"/>
    <xf numFmtId="4" fontId="71" fillId="0" borderId="25" pivotButton="0" quotePrefix="0" xfId="0"/>
    <xf numFmtId="0" fontId="70" fillId="0" borderId="61" pivotButton="0" quotePrefix="0" xfId="0"/>
    <xf numFmtId="0" fontId="71" fillId="0" borderId="44" pivotButton="0" quotePrefix="0" xfId="0"/>
    <xf numFmtId="0" fontId="70" fillId="0" borderId="21" pivotButton="0" quotePrefix="0" xfId="0"/>
    <xf numFmtId="4" fontId="71" fillId="0" borderId="21" pivotButton="0" quotePrefix="0" xfId="0"/>
    <xf numFmtId="0" fontId="71" fillId="0" borderId="45" pivotButton="0" quotePrefix="0" xfId="0"/>
    <xf numFmtId="0" fontId="73" fillId="0" borderId="45" pivotButton="0" quotePrefix="0" xfId="0"/>
    <xf numFmtId="0" fontId="70" fillId="19" borderId="38" applyAlignment="1" pivotButton="0" quotePrefix="0" xfId="0">
      <alignment horizontal="center"/>
    </xf>
    <xf numFmtId="0" fontId="70" fillId="19" borderId="30" applyAlignment="1" pivotButton="0" quotePrefix="0" xfId="0">
      <alignment horizontal="center"/>
    </xf>
    <xf numFmtId="0" fontId="70" fillId="19" borderId="30" pivotButton="0" quotePrefix="0" xfId="0"/>
    <xf numFmtId="0" fontId="70" fillId="19" borderId="31" pivotButton="0" quotePrefix="0" xfId="0"/>
    <xf numFmtId="165" fontId="70" fillId="19" borderId="55" applyAlignment="1" pivotButton="0" quotePrefix="0" xfId="0">
      <alignment horizontal="center"/>
    </xf>
    <xf numFmtId="165" fontId="70" fillId="19" borderId="52" applyAlignment="1" pivotButton="0" quotePrefix="0" xfId="0">
      <alignment horizontal="right"/>
    </xf>
    <xf numFmtId="0" fontId="70" fillId="19" borderId="29" pivotButton="0" quotePrefix="0" xfId="0"/>
    <xf numFmtId="0" fontId="70" fillId="19" borderId="42" pivotButton="0" quotePrefix="0" xfId="0"/>
    <xf numFmtId="0" fontId="70" fillId="19" borderId="39" applyAlignment="1" pivotButton="0" quotePrefix="0" xfId="0">
      <alignment horizontal="center"/>
    </xf>
    <xf numFmtId="0" fontId="70" fillId="19" borderId="33" applyAlignment="1" pivotButton="0" quotePrefix="0" xfId="0">
      <alignment horizontal="center"/>
    </xf>
    <xf numFmtId="0" fontId="70" fillId="19" borderId="33" pivotButton="0" quotePrefix="0" xfId="0"/>
    <xf numFmtId="0" fontId="70" fillId="19" borderId="34" pivotButton="0" quotePrefix="0" xfId="0"/>
    <xf numFmtId="165" fontId="70" fillId="19" borderId="56" applyAlignment="1" pivotButton="0" quotePrefix="0" xfId="0">
      <alignment horizontal="center"/>
    </xf>
    <xf numFmtId="165" fontId="70" fillId="19" borderId="53" applyAlignment="1" pivotButton="0" quotePrefix="0" xfId="0">
      <alignment horizontal="right"/>
    </xf>
    <xf numFmtId="0" fontId="70" fillId="19" borderId="32" pivotButton="0" quotePrefix="0" xfId="0"/>
    <xf numFmtId="0" fontId="70" fillId="19" borderId="43" pivotButton="0" quotePrefix="0" xfId="0"/>
    <xf numFmtId="165" fontId="70" fillId="19" borderId="30" applyAlignment="1" pivotButton="0" quotePrefix="0" xfId="0">
      <alignment horizontal="center"/>
    </xf>
    <xf numFmtId="165" fontId="70" fillId="19" borderId="30" applyAlignment="1" pivotButton="0" quotePrefix="0" xfId="0">
      <alignment horizontal="right"/>
    </xf>
    <xf numFmtId="0" fontId="69" fillId="7" borderId="35" pivotButton="0" quotePrefix="0" xfId="0"/>
    <xf numFmtId="0" fontId="69" fillId="7" borderId="22" pivotButton="0" quotePrefix="0" xfId="0"/>
    <xf numFmtId="0" fontId="69" fillId="7" borderId="46" pivotButton="0" quotePrefix="0" xfId="0"/>
    <xf numFmtId="0" fontId="69" fillId="7" borderId="36" pivotButton="0" quotePrefix="0" xfId="0"/>
    <xf numFmtId="0" fontId="69" fillId="7" borderId="23" pivotButton="0" quotePrefix="0" xfId="0"/>
    <xf numFmtId="165" fontId="69" fillId="7" borderId="23" applyAlignment="1" pivotButton="0" quotePrefix="0" xfId="0">
      <alignment horizontal="center"/>
    </xf>
    <xf numFmtId="165" fontId="69" fillId="7" borderId="23" applyAlignment="1" pivotButton="0" quotePrefix="0" xfId="0">
      <alignment horizontal="right"/>
    </xf>
    <xf numFmtId="0" fontId="74" fillId="24" borderId="57" applyAlignment="1" pivotButton="0" quotePrefix="0" xfId="0">
      <alignment horizontal="right"/>
    </xf>
    <xf numFmtId="0" fontId="74" fillId="24" borderId="57" applyAlignment="1" pivotButton="0" quotePrefix="0" xfId="0">
      <alignment horizontal="center"/>
    </xf>
    <xf numFmtId="165" fontId="74" fillId="24" borderId="57" applyAlignment="1" pivotButton="0" quotePrefix="0" xfId="0">
      <alignment horizontal="center"/>
    </xf>
    <xf numFmtId="165" fontId="74" fillId="24" borderId="57" applyAlignment="1" pivotButton="0" quotePrefix="0" xfId="0">
      <alignment horizontal="right"/>
    </xf>
    <xf numFmtId="0" fontId="74" fillId="24" borderId="57" pivotButton="0" quotePrefix="0" xfId="0"/>
    <xf numFmtId="0" fontId="69" fillId="7" borderId="62" pivotButton="0" quotePrefix="0" xfId="0"/>
    <xf numFmtId="0" fontId="69" fillId="7" borderId="63" pivotButton="0" quotePrefix="0" xfId="0"/>
    <xf numFmtId="0" fontId="69" fillId="7" borderId="64" pivotButton="0" quotePrefix="0" xfId="0"/>
    <xf numFmtId="4" fontId="71" fillId="22" borderId="1" applyAlignment="1" pivotButton="0" quotePrefix="0" xfId="0">
      <alignment horizontal="center"/>
    </xf>
    <xf numFmtId="4" fontId="71" fillId="22" borderId="66" applyAlignment="1" pivotButton="0" quotePrefix="0" xfId="0">
      <alignment horizontal="center"/>
    </xf>
    <xf numFmtId="165" fontId="71" fillId="0" borderId="1" applyAlignment="1" pivotButton="0" quotePrefix="0" xfId="0">
      <alignment horizontal="center"/>
    </xf>
    <xf numFmtId="165" fontId="71" fillId="0" borderId="66" applyAlignment="1" pivotButton="0" quotePrefix="0" xfId="0">
      <alignment horizontal="center"/>
    </xf>
    <xf numFmtId="0" fontId="69" fillId="21" borderId="1" applyAlignment="1" pivotButton="0" quotePrefix="0" xfId="0">
      <alignment horizontal="center"/>
    </xf>
    <xf numFmtId="0" fontId="69" fillId="21" borderId="66" applyAlignment="1" pivotButton="0" quotePrefix="0" xfId="0">
      <alignment horizontal="center"/>
    </xf>
    <xf numFmtId="165" fontId="70" fillId="0" borderId="68" applyAlignment="1" pivotButton="0" quotePrefix="0" xfId="0">
      <alignment horizontal="center"/>
    </xf>
    <xf numFmtId="165" fontId="70" fillId="0" borderId="69" applyAlignment="1" pivotButton="0" quotePrefix="0" xfId="0">
      <alignment horizontal="center"/>
    </xf>
    <xf numFmtId="0" fontId="69" fillId="7" borderId="71" pivotButton="0" quotePrefix="0" xfId="0"/>
    <xf numFmtId="0" fontId="69" fillId="7" borderId="72" pivotButton="0" quotePrefix="0" xfId="0"/>
    <xf numFmtId="0" fontId="69" fillId="22" borderId="75" pivotButton="0" quotePrefix="0" xfId="0"/>
    <xf numFmtId="4" fontId="69" fillId="22" borderId="76" pivotButton="0" quotePrefix="0" xfId="0"/>
    <xf numFmtId="4" fontId="69" fillId="22" borderId="77" pivotButton="0" quotePrefix="0" xfId="0"/>
    <xf numFmtId="0" fontId="71" fillId="22" borderId="76" pivotButton="0" quotePrefix="0" xfId="0"/>
    <xf numFmtId="0" fontId="69" fillId="7" borderId="24" pivotButton="0" quotePrefix="0" xfId="0"/>
    <xf numFmtId="0" fontId="69" fillId="7" borderId="59" pivotButton="0" quotePrefix="0" xfId="0"/>
    <xf numFmtId="0" fontId="72" fillId="23" borderId="1" applyAlignment="1" pivotButton="0" quotePrefix="0" xfId="0">
      <alignment horizontal="center"/>
    </xf>
    <xf numFmtId="165" fontId="70" fillId="0" borderId="33" applyAlignment="1" pivotButton="0" quotePrefix="0" xfId="0">
      <alignment horizontal="center"/>
    </xf>
    <xf numFmtId="165" fontId="70" fillId="0" borderId="33" applyAlignment="1" pivotButton="0" quotePrefix="0" xfId="0">
      <alignment horizontal="right"/>
    </xf>
    <xf numFmtId="0" fontId="69" fillId="22" borderId="73" applyAlignment="1" pivotButton="0" quotePrefix="0" xfId="0">
      <alignment horizontal="center"/>
    </xf>
    <xf numFmtId="0" fontId="69" fillId="22" borderId="2" applyAlignment="1" pivotButton="0" quotePrefix="0" xfId="0">
      <alignment horizontal="center"/>
    </xf>
    <xf numFmtId="0" fontId="69" fillId="22" borderId="74" applyAlignment="1" pivotButton="0" quotePrefix="0" xfId="0">
      <alignment horizontal="center"/>
    </xf>
    <xf numFmtId="164" fontId="5" fillId="2" borderId="0" pivotButton="0" quotePrefix="0" xfId="1"/>
    <xf numFmtId="164" fontId="10" fillId="2" borderId="4" pivotButton="0" quotePrefix="0" xfId="1"/>
    <xf numFmtId="165" fontId="70" fillId="0" borderId="54" applyAlignment="1" pivotButton="0" quotePrefix="0" xfId="0">
      <alignment horizontal="center"/>
    </xf>
    <xf numFmtId="165" fontId="70" fillId="0" borderId="51" applyAlignment="1" pivotButton="0" quotePrefix="0" xfId="0">
      <alignment horizontal="right"/>
    </xf>
    <xf numFmtId="165" fontId="70" fillId="19" borderId="55" applyAlignment="1" pivotButton="0" quotePrefix="0" xfId="0">
      <alignment horizontal="center"/>
    </xf>
    <xf numFmtId="165" fontId="70" fillId="19" borderId="52" applyAlignment="1" pivotButton="0" quotePrefix="0" xfId="0">
      <alignment horizontal="right"/>
    </xf>
    <xf numFmtId="165" fontId="70" fillId="0" borderId="55" applyAlignment="1" pivotButton="0" quotePrefix="0" xfId="0">
      <alignment horizontal="center"/>
    </xf>
    <xf numFmtId="165" fontId="70" fillId="0" borderId="52" applyAlignment="1" pivotButton="0" quotePrefix="0" xfId="0">
      <alignment horizontal="right"/>
    </xf>
    <xf numFmtId="165" fontId="70" fillId="19" borderId="56" applyAlignment="1" pivotButton="0" quotePrefix="0" xfId="0">
      <alignment horizontal="center"/>
    </xf>
    <xf numFmtId="165" fontId="70" fillId="19" borderId="53" applyAlignment="1" pivotButton="0" quotePrefix="0" xfId="0">
      <alignment horizontal="right"/>
    </xf>
    <xf numFmtId="165" fontId="69" fillId="7" borderId="47" applyAlignment="1" pivotButton="0" quotePrefix="0" xfId="0">
      <alignment horizontal="center"/>
    </xf>
    <xf numFmtId="165" fontId="69" fillId="7" borderId="49" applyAlignment="1" pivotButton="0" quotePrefix="0" xfId="0">
      <alignment horizontal="right"/>
    </xf>
    <xf numFmtId="165" fontId="70" fillId="0" borderId="27" applyAlignment="1" pivotButton="0" quotePrefix="0" xfId="0">
      <alignment horizontal="center"/>
    </xf>
    <xf numFmtId="165" fontId="70" fillId="0" borderId="27" applyAlignment="1" pivotButton="0" quotePrefix="0" xfId="0">
      <alignment horizontal="right"/>
    </xf>
    <xf numFmtId="165" fontId="70" fillId="19" borderId="30" applyAlignment="1" pivotButton="0" quotePrefix="0" xfId="0">
      <alignment horizontal="center"/>
    </xf>
    <xf numFmtId="165" fontId="70" fillId="19" borderId="30" applyAlignment="1" pivotButton="0" quotePrefix="0" xfId="0">
      <alignment horizontal="right"/>
    </xf>
    <xf numFmtId="165" fontId="70" fillId="0" borderId="30" applyAlignment="1" pivotButton="0" quotePrefix="0" xfId="0">
      <alignment horizontal="center"/>
    </xf>
    <xf numFmtId="165" fontId="70" fillId="0" borderId="30" applyAlignment="1" pivotButton="0" quotePrefix="0" xfId="0">
      <alignment horizontal="right"/>
    </xf>
    <xf numFmtId="165" fontId="70" fillId="0" borderId="33" applyAlignment="1" pivotButton="0" quotePrefix="0" xfId="0">
      <alignment horizontal="center"/>
    </xf>
    <xf numFmtId="165" fontId="70" fillId="0" borderId="33" applyAlignment="1" pivotButton="0" quotePrefix="0" xfId="0">
      <alignment horizontal="right"/>
    </xf>
    <xf numFmtId="165" fontId="69" fillId="7" borderId="23" applyAlignment="1" pivotButton="0" quotePrefix="0" xfId="0">
      <alignment horizontal="center"/>
    </xf>
    <xf numFmtId="165" fontId="69" fillId="7" borderId="23" applyAlignment="1" pivotButton="0" quotePrefix="0" xfId="0">
      <alignment horizontal="right"/>
    </xf>
    <xf numFmtId="165" fontId="74" fillId="24" borderId="57" applyAlignment="1" pivotButton="0" quotePrefix="0" xfId="0">
      <alignment horizontal="center"/>
    </xf>
    <xf numFmtId="165" fontId="74" fillId="24" borderId="57" applyAlignment="1" pivotButton="0" quotePrefix="0" xfId="0">
      <alignment horizontal="right"/>
    </xf>
    <xf numFmtId="165" fontId="71" fillId="0" borderId="1" applyAlignment="1" pivotButton="0" quotePrefix="0" xfId="0">
      <alignment horizontal="center"/>
    </xf>
    <xf numFmtId="165" fontId="71" fillId="0" borderId="66" applyAlignment="1" pivotButton="0" quotePrefix="0" xfId="0">
      <alignment horizontal="center"/>
    </xf>
    <xf numFmtId="165" fontId="71" fillId="0" borderId="0" pivotButton="0" quotePrefix="0" xfId="0"/>
    <xf numFmtId="165" fontId="70" fillId="0" borderId="68" applyAlignment="1" pivotButton="0" quotePrefix="0" xfId="0">
      <alignment horizontal="center"/>
    </xf>
    <xf numFmtId="165" fontId="70" fillId="0" borderId="69" applyAlignment="1" pivotButton="0" quotePrefix="0" xfId="0">
      <alignment horizontal="center"/>
    </xf>
    <xf numFmtId="165" fontId="73" fillId="0" borderId="0" pivotButton="0" quotePrefix="0" xfId="0"/>
    <xf numFmtId="166" fontId="70" fillId="0" borderId="54" applyAlignment="1" pivotButton="0" quotePrefix="0" xfId="0">
      <alignment horizontal="center"/>
    </xf>
    <xf numFmtId="166" fontId="70" fillId="0" borderId="51" applyAlignment="1" pivotButton="0" quotePrefix="0" xfId="0">
      <alignment horizontal="right"/>
    </xf>
    <xf numFmtId="166" fontId="70" fillId="19" borderId="55" applyAlignment="1" pivotButton="0" quotePrefix="0" xfId="0">
      <alignment horizontal="center"/>
    </xf>
    <xf numFmtId="166" fontId="70" fillId="19" borderId="52" applyAlignment="1" pivotButton="0" quotePrefix="0" xfId="0">
      <alignment horizontal="right"/>
    </xf>
    <xf numFmtId="166" fontId="70" fillId="0" borderId="55" applyAlignment="1" pivotButton="0" quotePrefix="0" xfId="0">
      <alignment horizontal="center"/>
    </xf>
    <xf numFmtId="166" fontId="70" fillId="0" borderId="52" applyAlignment="1" pivotButton="0" quotePrefix="0" xfId="0">
      <alignment horizontal="right"/>
    </xf>
    <xf numFmtId="166" fontId="70" fillId="19" borderId="56" applyAlignment="1" pivotButton="0" quotePrefix="0" xfId="0">
      <alignment horizontal="center"/>
    </xf>
    <xf numFmtId="166" fontId="70" fillId="19" borderId="53" applyAlignment="1" pivotButton="0" quotePrefix="0" xfId="0">
      <alignment horizontal="right"/>
    </xf>
    <xf numFmtId="166" fontId="69" fillId="7" borderId="47" applyAlignment="1" pivotButton="0" quotePrefix="0" xfId="0">
      <alignment horizontal="center"/>
    </xf>
    <xf numFmtId="166" fontId="69" fillId="7" borderId="49" applyAlignment="1" pivotButton="0" quotePrefix="0" xfId="0">
      <alignment horizontal="right"/>
    </xf>
    <xf numFmtId="166" fontId="70" fillId="0" borderId="23" applyAlignment="1" pivotButton="0" quotePrefix="0" xfId="0">
      <alignment horizontal="center"/>
    </xf>
    <xf numFmtId="166" fontId="70" fillId="0" borderId="27" applyAlignment="1" pivotButton="0" quotePrefix="0" xfId="0">
      <alignment horizontal="center"/>
    </xf>
    <xf numFmtId="166" fontId="70" fillId="0" borderId="27" applyAlignment="1" pivotButton="0" quotePrefix="0" xfId="0">
      <alignment horizontal="right"/>
    </xf>
    <xf numFmtId="166" fontId="70" fillId="19" borderId="30" applyAlignment="1" pivotButton="0" quotePrefix="0" xfId="0">
      <alignment horizontal="center"/>
    </xf>
    <xf numFmtId="166" fontId="70" fillId="19" borderId="30" applyAlignment="1" pivotButton="0" quotePrefix="0" xfId="0">
      <alignment horizontal="right"/>
    </xf>
    <xf numFmtId="166" fontId="70" fillId="0" borderId="30" applyAlignment="1" pivotButton="0" quotePrefix="0" xfId="0">
      <alignment horizontal="center"/>
    </xf>
    <xf numFmtId="166" fontId="70" fillId="0" borderId="30" applyAlignment="1" pivotButton="0" quotePrefix="0" xfId="0">
      <alignment horizontal="right"/>
    </xf>
    <xf numFmtId="166" fontId="70" fillId="0" borderId="33" applyAlignment="1" pivotButton="0" quotePrefix="0" xfId="0">
      <alignment horizontal="center"/>
    </xf>
    <xf numFmtId="166" fontId="70" fillId="0" borderId="33" applyAlignment="1" pivotButton="0" quotePrefix="0" xfId="0">
      <alignment horizontal="right"/>
    </xf>
    <xf numFmtId="166" fontId="69" fillId="7" borderId="23" applyAlignment="1" pivotButton="0" quotePrefix="0" xfId="0">
      <alignment horizontal="center"/>
    </xf>
    <xf numFmtId="166" fontId="69" fillId="7" borderId="23" applyAlignment="1" pivotButton="0" quotePrefix="0" xfId="0">
      <alignment horizontal="right"/>
    </xf>
    <xf numFmtId="166" fontId="74" fillId="24" borderId="57" applyAlignment="1" pivotButton="0" quotePrefix="0" xfId="0">
      <alignment horizontal="center"/>
    </xf>
    <xf numFmtId="166" fontId="74" fillId="24" borderId="57" applyAlignment="1" pivotButton="0" quotePrefix="0" xfId="0">
      <alignment horizontal="right"/>
    </xf>
    <xf numFmtId="166" fontId="70" fillId="0" borderId="68" applyAlignment="1" pivotButton="0" quotePrefix="0" xfId="0">
      <alignment horizontal="center"/>
    </xf>
    <xf numFmtId="166" fontId="70" fillId="0" borderId="69" applyAlignment="1" pivotButton="0" quotePrefix="0" xfId="0">
      <alignment horizontal="center"/>
    </xf>
    <xf numFmtId="166" fontId="73" fillId="0" borderId="0" pivotButton="0" quotePrefix="0" xfId="0"/>
    <xf numFmtId="0" fontId="75" fillId="25" borderId="0" applyAlignment="1" pivotButton="0" quotePrefix="0" xfId="0">
      <alignment horizontal="center" vertical="center" wrapText="1"/>
    </xf>
    <xf numFmtId="0" fontId="76" fillId="25" borderId="78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</cellXfs>
  <cellStyles count="8">
    <cellStyle name="Normal" xfId="0" builtinId="0"/>
    <cellStyle name="Millares" xfId="1" builtinId="3"/>
    <cellStyle name="Normal 2" xfId="2"/>
    <cellStyle name="Normal 3" xfId="3"/>
    <cellStyle name="Normal 3 2" xfId="4"/>
    <cellStyle name="Normal 3 3" xfId="5"/>
    <cellStyle name="Normal 2 2" xfId="6"/>
    <cellStyle name="Millares 2" xfId="7"/>
  </cellStyles>
  <dxfs count="9">
    <dxf>
      <font>
        <color rgb="FFFFFFFF"/>
      </font>
      <fill>
        <patternFill patternType="solid">
          <fgColor indexed="64"/>
          <bgColor rgb="FFC000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  <dxf>
      <font>
        <name val="Calibri"/>
        <color rgb="00006100"/>
        <sz val="10"/>
      </font>
      <fill>
        <patternFill patternType="solid">
          <fgColor rgb="00C6EFCE"/>
        </patternFill>
      </fill>
    </dxf>
    <dxf>
      <font>
        <name val="Calibri"/>
        <b val="1"/>
        <color rgb="009C5700"/>
        <sz val="10"/>
      </font>
      <fill>
        <patternFill patternType="solid">
          <fgColor rgb="00FFEB9C"/>
        </patternFill>
      </fill>
    </dxf>
    <dxf>
      <font>
        <name val="Calibri"/>
        <b val="1"/>
        <color rgb="00FFFFFF"/>
        <sz val="10"/>
      </font>
      <fill>
        <patternFill patternType="solid">
          <fgColor rgb="00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Hans</author>
  </authors>
  <commentList>
    <comment ref="C91" authorId="0" shapeId="0">
      <text>
        <t>Hans:
Según Planilla N°294 (Cadena Funcional)</t>
      </text>
    </comment>
    <comment ref="C92" authorId="0" shapeId="0">
      <text>
        <t>Hans:
Según Planilla N°294 (Cadena Funcional)</t>
      </text>
    </comment>
    <comment ref="C105" authorId="0" shapeId="0">
      <text>
        <t>Hans:
Voucher BN pág. 58 de PDF rendición. Diferencia de S/1 con Anexo 3 (S/461). Verificar.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R105"/>
  <sheetViews>
    <sheetView showGridLines="0" tabSelected="1" topLeftCell="A78" zoomScale="115" zoomScaleNormal="115" workbookViewId="0">
      <selection activeCell="K86" sqref="K86"/>
    </sheetView>
  </sheetViews>
  <sheetFormatPr baseColWidth="10" defaultColWidth="8.6640625" defaultRowHeight="15.05"/>
  <cols>
    <col width="5.33203125" customWidth="1" min="1" max="1"/>
    <col width="13.33203125" customWidth="1" min="2" max="2"/>
    <col width="8.88671875" customWidth="1" min="3" max="3"/>
    <col width="16.88671875" customWidth="1" min="4" max="4"/>
    <col width="35.44140625" customWidth="1" min="5" max="5"/>
    <col width="16" customWidth="1" min="6" max="6"/>
    <col width="24" customWidth="1" min="7" max="7"/>
    <col width="9.77734375" customWidth="1" min="8" max="13"/>
    <col width="10.6640625" customWidth="1" min="14" max="14"/>
    <col width="44.33203125" customWidth="1" min="15" max="16"/>
    <col width="7.109375" customWidth="1" style="15" min="17" max="17"/>
    <col width="19.109375" customWidth="1" min="18" max="18"/>
    <col width="17.77734375" customWidth="1" min="19" max="19"/>
    <col width="7.109375" customWidth="1" min="20" max="20"/>
  </cols>
  <sheetData>
    <row r="1">
      <c r="A1" s="134" t="inlineStr">
        <is>
          <t>ANÁLISIS DE EXPEDIENTE DE VIÁTICOS — MATRIZ LIMPIA (papel de trabajo)</t>
        </is>
      </c>
    </row>
    <row r="3">
      <c r="A3" s="21" t="inlineStr">
        <is>
          <t>CONTROL DE PLAZOS - RENDICIÓN DE CUENTAS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>
      <c r="A4" s="23" t="inlineStr">
        <is>
          <t>FECHA DE REGRESO</t>
        </is>
      </c>
      <c r="B4" s="48" t="n"/>
      <c r="D4" s="23" t="inlineStr">
        <is>
          <t>FECHA DE RENDICIÓN EN SIGA</t>
        </is>
      </c>
      <c r="E4" s="48" t="n"/>
      <c r="G4" s="23" t="n"/>
      <c r="H4" s="24" t="n"/>
    </row>
    <row r="5">
      <c r="A5" s="25" t="inlineStr">
        <is>
          <t>PLAZO MÁXIMO (10 días hábiles)</t>
        </is>
      </c>
      <c r="B5" s="75" t="n"/>
      <c r="D5" s="73" t="n"/>
      <c r="E5" s="26" t="n"/>
      <c r="F5" s="27" t="n"/>
      <c r="G5" s="25" t="inlineStr">
        <is>
          <t>DENTRO DEL PLAZO ✅</t>
        </is>
      </c>
      <c r="H5" s="28" t="inlineStr">
        <is>
          <t>DENTRO DEL PLAZO ✅</t>
        </is>
      </c>
    </row>
    <row r="6">
      <c r="A6" s="23" t="inlineStr">
        <is>
          <t>FECHA RIDE (DEVOLUCIÓN)</t>
        </is>
      </c>
      <c r="B6" s="48" t="n"/>
      <c r="D6" s="74" t="n"/>
      <c r="E6" s="29" t="n"/>
      <c r="F6" s="30" t="n"/>
      <c r="G6" s="23" t="inlineStr">
        <is>
          <t>ESTADO DEVOLUCIÓN</t>
        </is>
      </c>
      <c r="H6" s="31" t="inlineStr">
        <is>
          <t>DENTRO DEL PLAZO ✅</t>
        </is>
      </c>
    </row>
    <row r="7">
      <c r="A7" s="76" t="inlineStr">
        <is>
          <t>FECHA RECEPCIÓN CONTROL PREVIO</t>
        </is>
      </c>
      <c r="B7" s="77" t="n"/>
      <c r="D7" s="76" t="n"/>
      <c r="E7" s="82" t="n"/>
      <c r="F7" s="78" t="n"/>
    </row>
    <row r="8">
      <c r="A8" s="32" t="inlineStr">
        <is>
          <t>ESCENARIO DE INCUMPLIMIENTO (Num. 6.7.1)</t>
        </is>
      </c>
      <c r="B8" s="16" t="n"/>
      <c r="C8" s="16" t="n"/>
      <c r="D8" s="32" t="inlineStr">
        <is>
          <t>PLAZO</t>
        </is>
      </c>
      <c r="E8" s="16" t="n"/>
      <c r="F8" s="32" t="inlineStr">
        <is>
          <t>ACCIÓN</t>
        </is>
      </c>
      <c r="G8" s="32" t="inlineStr">
        <is>
          <t>EVALUACIÓN</t>
        </is>
      </c>
      <c r="H8" s="32" t="inlineStr">
        <is>
          <t>DETALLE</t>
        </is>
      </c>
      <c r="I8" s="16" t="n"/>
      <c r="J8" s="32" t="inlineStr">
        <is>
          <t>APLICA?</t>
        </is>
      </c>
    </row>
    <row r="9">
      <c r="A9" s="33" t="inlineStr">
        <is>
          <t>1º Incumplimiento - Num. 6.7.1 lit. a)</t>
        </is>
      </c>
      <c r="B9" s="34" t="n"/>
      <c r="C9" s="34" t="n"/>
      <c r="D9" s="36" t="inlineStr">
        <is>
          <t>Vencidos los 10 días hábiles</t>
        </is>
      </c>
      <c r="E9" s="34" t="n"/>
      <c r="F9" s="36" t="inlineStr">
        <is>
          <t>OCCP notifica al comisionado vía correo electrónico, con copia al jefe y coordinador adm. Otorga 72 HORAS adicionales por única vez.</t>
        </is>
      </c>
      <c r="G9" s="83" t="inlineStr">
        <is>
          <t>NO APLICA ✅</t>
        </is>
      </c>
      <c r="H9" s="84" t="n"/>
      <c r="I9" s="34" t="n"/>
      <c r="J9" s="37" t="inlineStr">
        <is>
          <t>NO</t>
        </is>
      </c>
    </row>
    <row r="10">
      <c r="A10" s="38" t="inlineStr">
        <is>
          <t>2º Incumplimiento - Num. 6.7.1 lit. b) y c)</t>
        </is>
      </c>
      <c r="B10" s="39" t="n"/>
      <c r="C10" s="39" t="n"/>
      <c r="D10" s="40" t="inlineStr">
        <is>
          <t>Vencidas las 72 horas</t>
        </is>
      </c>
      <c r="E10" s="39" t="n"/>
      <c r="F10" s="40" t="inlineStr">
        <is>
          <t>OCCP remite relación de omisos a OGA. OGA requiere al comisionado: subsanar en 24 HORAS.</t>
        </is>
      </c>
      <c r="G10" s="83" t="inlineStr">
        <is>
          <t>NO APLICA ✅</t>
        </is>
      </c>
      <c r="H10" s="79" t="n"/>
      <c r="I10" s="39" t="n"/>
      <c r="J10" s="41" t="inlineStr">
        <is>
          <t>NO</t>
        </is>
      </c>
    </row>
    <row r="11">
      <c r="A11" s="33" t="inlineStr">
        <is>
          <t>3º Incumplimiento - Num. 6.7.1 lit. d)</t>
        </is>
      </c>
      <c r="B11" s="34" t="n"/>
      <c r="C11" s="34" t="n"/>
      <c r="D11" s="36" t="inlineStr">
        <is>
          <t>Vencidas las 24 horas</t>
        </is>
      </c>
      <c r="E11" s="34" t="n"/>
      <c r="F11" s="36" t="inlineStr">
        <is>
          <t>OCCP informa a OGA → Remisión a STOIPAD para acciones disciplinarias. Se agotan acciones administrativas de recupero.</t>
        </is>
      </c>
      <c r="G11" s="83" t="inlineStr">
        <is>
          <t>NO APLICA ✅</t>
        </is>
      </c>
      <c r="H11" s="80" t="n"/>
      <c r="I11" s="34" t="n"/>
      <c r="J11" s="37" t="inlineStr">
        <is>
          <t>NO</t>
        </is>
      </c>
    </row>
    <row r="12">
      <c r="A12" s="42" t="inlineStr">
        <is>
          <t>4º Acción Final - Num. 6.7.1 lit. e)</t>
        </is>
      </c>
      <c r="B12" s="22" t="n"/>
      <c r="C12" s="22" t="n"/>
      <c r="D12" s="43" t="inlineStr">
        <is>
          <t>Persistir incumplimiento</t>
        </is>
      </c>
      <c r="E12" s="22" t="n"/>
      <c r="F12" s="43" t="inlineStr">
        <is>
          <t>OCCP prepara actuados → OGA remite a PROCURADURÍA PÚBLICA del MINEDU para acciones legales.</t>
        </is>
      </c>
      <c r="G12" s="83" t="inlineStr">
        <is>
          <t>NO APLICA ✅</t>
        </is>
      </c>
      <c r="H12" s="81" t="n"/>
      <c r="I12" s="22" t="n"/>
      <c r="J12" s="44" t="inlineStr">
        <is>
          <t>NO</t>
        </is>
      </c>
    </row>
    <row r="13">
      <c r="A13" s="39" t="n"/>
    </row>
    <row r="14">
      <c r="A14" s="32" t="inlineStr">
        <is>
          <t>OTRAS VALIDACIONES SEGÚN DIRECTIVA</t>
        </is>
      </c>
      <c r="B14" s="16" t="n"/>
      <c r="C14" s="32" t="inlineStr">
        <is>
          <t>NUMERAL</t>
        </is>
      </c>
      <c r="D14" s="32" t="inlineStr">
        <is>
          <t>CRITERIO</t>
        </is>
      </c>
      <c r="E14" s="16" t="n"/>
      <c r="F14" s="16" t="n"/>
      <c r="G14" s="16" t="n"/>
      <c r="H14" s="32" t="inlineStr">
        <is>
          <t>RESULTADO</t>
        </is>
      </c>
      <c r="I14" s="16" t="n"/>
      <c r="J14" s="16" t="n"/>
    </row>
    <row r="15">
      <c r="A15" s="40" t="inlineStr">
        <is>
          <t>Comprobantes emitidos a nombre UE correcta</t>
        </is>
      </c>
      <c r="C15" s="45" t="inlineStr">
        <is>
          <t>6.4.8</t>
        </is>
      </c>
      <c r="D15" s="35" t="inlineStr">
        <is>
          <t>RUC 20380795907 - UE 026 Prog. Educ. Básica Para Todos</t>
        </is>
      </c>
      <c r="H15" s="46" t="inlineStr">
        <is>
          <t>CONFORME ✅</t>
        </is>
      </c>
    </row>
    <row r="16">
      <c r="A16" s="40" t="inlineStr">
        <is>
          <t>No incluye bebidas alcohólicas ni artículos personales</t>
        </is>
      </c>
      <c r="C16" s="45" t="inlineStr">
        <is>
          <t>6.4.13</t>
        </is>
      </c>
      <c r="D16" s="35" t="inlineStr">
        <is>
          <t>Sin vestimenta, calzado, medicinas, art. limpieza, regalos, lavandería, etc.</t>
        </is>
      </c>
      <c r="H16" s="46" t="inlineStr">
        <is>
          <t>CONFORME ✅</t>
        </is>
      </c>
    </row>
    <row r="17">
      <c r="A17" s="40" t="inlineStr">
        <is>
          <t>Comprobantes alimentación con detalle</t>
        </is>
      </c>
      <c r="C17" s="45" t="inlineStr">
        <is>
          <t>6.4.11</t>
        </is>
      </c>
      <c r="D17" s="35" t="inlineStr">
        <is>
          <t>No se aceptan docs que solo digan 'por consumo' o 'por alimentación'</t>
        </is>
      </c>
      <c r="H17" s="46" t="inlineStr">
        <is>
          <t>VERIFICAR ⚠️</t>
        </is>
      </c>
    </row>
    <row r="18">
      <c r="A18" s="36" t="inlineStr">
        <is>
          <t>Validación SUNAT de comprobantes adjunta</t>
        </is>
      </c>
      <c r="C18" s="47" t="inlineStr">
        <is>
          <t>6.4.3 j)</t>
        </is>
      </c>
      <c r="D18" s="36" t="inlineStr">
        <is>
          <t>Cada comprobante original con validación SUNAT adjunta</t>
        </is>
      </c>
      <c r="E18" s="34" t="n"/>
      <c r="F18" s="34" t="n"/>
      <c r="G18" s="34" t="n"/>
      <c r="H18" s="46" t="inlineStr">
        <is>
          <t>CONFORME ✅</t>
        </is>
      </c>
      <c r="I18" s="34" t="n"/>
      <c r="J18" s="34" t="n"/>
    </row>
    <row r="19">
      <c r="A19" s="40" t="inlineStr">
        <is>
          <t>Gastos razonables y proporcionales al destino</t>
        </is>
      </c>
      <c r="C19" s="45" t="inlineStr">
        <is>
          <t>6.4.1</t>
        </is>
      </c>
      <c r="D19" s="35" t="inlineStr">
        <is>
          <t>Gastos coherentes con periodo y ubicación geográfica (Oyón, Lima - Provincia)</t>
        </is>
      </c>
      <c r="H19" s="46" t="inlineStr">
        <is>
          <t>CONFORME ✅</t>
        </is>
      </c>
    </row>
    <row r="20">
      <c r="A20" s="1" t="inlineStr">
        <is>
          <t>DATOS DEL EXPEDIENTE</t>
        </is>
      </c>
    </row>
    <row r="21">
      <c r="A21" s="7" t="inlineStr">
        <is>
          <t>UE</t>
        </is>
      </c>
      <c r="B21" s="7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7" t="inlineStr">
        <is>
          <t>FECHA DE REGISTRO SIGA MÓDULO DE TESORERÍA</t>
        </is>
      </c>
      <c r="B22" s="131" t="n"/>
      <c r="D22" s="2" t="n"/>
      <c r="E22" s="2" t="n"/>
      <c r="F22" s="2" t="n"/>
      <c r="G22" s="2" t="n"/>
      <c r="H22" s="4" t="inlineStr">
        <is>
          <t>Viático Otorgado:</t>
        </is>
      </c>
      <c r="I22" s="2" t="n"/>
      <c r="J22" s="257" t="n"/>
      <c r="K22" s="2" t="n"/>
    </row>
    <row r="23" ht="15.65" customHeight="1" thickBot="1">
      <c r="A23" s="7" t="inlineStr">
        <is>
          <t>SALIDA</t>
        </is>
      </c>
      <c r="B23" s="132" t="n"/>
      <c r="D23" s="3" t="n"/>
      <c r="E23" s="3" t="n"/>
      <c r="F23" s="2" t="n"/>
      <c r="G23" s="2" t="n"/>
      <c r="H23" s="4" t="inlineStr">
        <is>
          <t>Total Gastado:</t>
        </is>
      </c>
      <c r="I23" s="2" t="n"/>
      <c r="J23" s="257" t="n"/>
      <c r="K23" s="2" t="n"/>
    </row>
    <row r="24" ht="15.65" customHeight="1" thickBot="1">
      <c r="A24" s="7" t="inlineStr">
        <is>
          <t>REGRESO</t>
        </is>
      </c>
      <c r="B24" s="131" t="n"/>
      <c r="D24" s="2" t="n"/>
      <c r="E24" s="2" t="n"/>
      <c r="F24" s="2" t="n"/>
      <c r="G24" s="2" t="n"/>
      <c r="H24" s="6" t="inlineStr">
        <is>
          <t>Devolución</t>
        </is>
      </c>
      <c r="I24" s="2" t="n"/>
      <c r="J24" s="258" t="n"/>
      <c r="K24" s="2" t="n"/>
    </row>
    <row r="25">
      <c r="A25" s="7" t="inlineStr">
        <is>
          <t>Nº DÍAS/HORAS</t>
        </is>
      </c>
      <c r="B25" s="5" t="n"/>
      <c r="D25" s="2" t="n"/>
      <c r="E25" s="2" t="n"/>
      <c r="F25" s="2" t="n"/>
      <c r="G25" s="2" t="n"/>
      <c r="H25" s="6" t="n"/>
      <c r="I25" s="2" t="n"/>
      <c r="J25" s="2" t="n"/>
      <c r="K25" s="2" t="n"/>
    </row>
    <row r="26">
      <c r="A26" s="7" t="inlineStr">
        <is>
          <t>Nº EXP SIAF</t>
        </is>
      </c>
      <c r="B26" s="10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7" t="inlineStr">
        <is>
          <t>EXPEDIENTE ESINAD</t>
        </is>
      </c>
      <c r="B27" s="7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7" t="inlineStr">
        <is>
          <t>Nº PLANILLA</t>
        </is>
      </c>
      <c r="B28" s="20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7" t="inlineStr">
        <is>
          <t>COMISIONADO</t>
        </is>
      </c>
      <c r="B29" s="7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.65" customHeight="1" thickBot="1">
      <c r="A30" s="7" t="inlineStr">
        <is>
          <t>DESTINO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.65" customHeight="1" thickBot="1">
      <c r="A31" s="7" t="inlineStr">
        <is>
          <t>DESTINO EXACTO</t>
        </is>
      </c>
      <c r="B31" s="13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7" t="inlineStr">
        <is>
          <t>MOTIVO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7" t="inlineStr">
        <is>
          <t>ÓRGANO/UNIDAD</t>
        </is>
      </c>
      <c r="B33" s="7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18" t="inlineStr">
        <is>
          <t>CARGO</t>
        </is>
      </c>
      <c r="B34" s="5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18" t="inlineStr">
        <is>
          <t>ESCALA / TOPE DIARIO</t>
        </is>
      </c>
      <c r="B35" s="19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7" t="inlineStr">
        <is>
          <t>VERIF. COMISIÓN A VARIAS PROVINCIAS CON DIFERENTE SINAD</t>
        </is>
      </c>
      <c r="B36" s="19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B37" s="5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25.05" customHeight="1" thickBot="1">
      <c r="A38" s="140" t="inlineStr">
        <is>
          <t>GASTOS CON DOCUMENTACIÓN SUSTENTATORIA (Anexo 3)</t>
        </is>
      </c>
      <c r="B38" s="141" t="n"/>
      <c r="C38" s="141" t="n"/>
      <c r="D38" s="141" t="n"/>
      <c r="E38" s="141" t="n"/>
      <c r="F38" s="141" t="n"/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</row>
    <row r="39" ht="22.1" customHeight="1" thickBot="1">
      <c r="A39" s="145" t="inlineStr">
        <is>
          <t>N°</t>
        </is>
      </c>
      <c r="B39" s="146" t="inlineStr">
        <is>
          <t>FECHA</t>
        </is>
      </c>
      <c r="C39" s="146" t="inlineStr">
        <is>
          <t>TIPO DOC</t>
        </is>
      </c>
      <c r="D39" s="146" t="inlineStr">
        <is>
          <t>N° COMPROBANTE</t>
        </is>
      </c>
      <c r="E39" s="146" t="inlineStr">
        <is>
          <t>RAZÓN SOCIAL</t>
        </is>
      </c>
      <c r="F39" s="146" t="inlineStr">
        <is>
          <t>CONCEPTO</t>
        </is>
      </c>
      <c r="G39" s="146" t="inlineStr">
        <is>
          <t>PARTIDA</t>
        </is>
      </c>
      <c r="H39" s="147" t="inlineStr">
        <is>
          <t>Día 1</t>
        </is>
      </c>
      <c r="I39" s="147" t="inlineStr">
        <is>
          <t>Día 2</t>
        </is>
      </c>
      <c r="J39" s="147" t="inlineStr">
        <is>
          <t>Día 3</t>
        </is>
      </c>
      <c r="K39" s="147" t="inlineStr">
        <is>
          <t>Día 4</t>
        </is>
      </c>
      <c r="L39" s="147" t="inlineStr">
        <is>
          <t>Día 5</t>
        </is>
      </c>
      <c r="M39" s="147" t="inlineStr">
        <is>
          <t>Día 6</t>
        </is>
      </c>
      <c r="N39" s="148" t="inlineStr">
        <is>
          <t>TOTAL</t>
        </is>
      </c>
      <c r="O39" s="146" t="inlineStr">
        <is>
          <t>CONCEPTO DETALLE</t>
        </is>
      </c>
      <c r="P39" s="146" t="inlineStr">
        <is>
          <t>ARCHIVO PDF</t>
        </is>
      </c>
      <c r="Q39" s="149" t="inlineStr">
        <is>
          <t>PÁG.</t>
        </is>
      </c>
    </row>
    <row r="40" ht="15.05" customHeight="1">
      <c r="A40" s="150" t="n"/>
      <c r="B40" s="151" t="n"/>
      <c r="C40" s="151" t="n"/>
      <c r="D40" s="152" t="n"/>
      <c r="E40" s="152" t="n"/>
      <c r="F40" s="152" t="n"/>
      <c r="G40" s="153" t="n"/>
      <c r="H40" s="287" t="n"/>
      <c r="I40" s="287" t="n"/>
      <c r="J40" s="287" t="n"/>
      <c r="K40" s="287" t="n"/>
      <c r="L40" s="287" t="n"/>
      <c r="M40" s="287" t="n"/>
      <c r="N40" s="288">
        <f>SUM(H40:M40)</f>
        <v/>
      </c>
      <c r="O40" s="156" t="n"/>
      <c r="P40" s="152" t="n"/>
      <c r="Q40" s="157" t="n"/>
    </row>
    <row r="41" ht="15.05" customHeight="1">
      <c r="A41" s="202" t="n"/>
      <c r="B41" s="203" t="n"/>
      <c r="C41" s="203" t="n"/>
      <c r="D41" s="204" t="n"/>
      <c r="E41" s="204" t="n"/>
      <c r="F41" s="204" t="n"/>
      <c r="G41" s="205" t="n"/>
      <c r="H41" s="289" t="n"/>
      <c r="I41" s="289" t="n"/>
      <c r="J41" s="289" t="n"/>
      <c r="K41" s="289" t="n"/>
      <c r="L41" s="289" t="n"/>
      <c r="M41" s="289" t="n"/>
      <c r="N41" s="290">
        <f>SUM(H41:M41)</f>
        <v/>
      </c>
      <c r="O41" s="208" t="n"/>
      <c r="P41" s="204" t="n"/>
      <c r="Q41" s="209" t="n"/>
    </row>
    <row r="42" ht="15.05" customHeight="1">
      <c r="A42" s="158" t="n"/>
      <c r="B42" s="159" t="n"/>
      <c r="C42" s="159" t="n"/>
      <c r="D42" s="160" t="n"/>
      <c r="E42" s="160" t="n"/>
      <c r="F42" s="160" t="n"/>
      <c r="G42" s="161" t="n"/>
      <c r="H42" s="291" t="n"/>
      <c r="I42" s="291" t="n"/>
      <c r="J42" s="291" t="n"/>
      <c r="K42" s="291" t="n"/>
      <c r="L42" s="291" t="n"/>
      <c r="M42" s="291" t="n"/>
      <c r="N42" s="292">
        <f>SUM(H42:M42)</f>
        <v/>
      </c>
      <c r="O42" s="164" t="n"/>
      <c r="P42" s="160" t="n"/>
      <c r="Q42" s="165" t="n"/>
    </row>
    <row r="43" ht="15.05" customHeight="1">
      <c r="A43" s="202" t="n"/>
      <c r="B43" s="203" t="n"/>
      <c r="C43" s="203" t="n"/>
      <c r="D43" s="204" t="n"/>
      <c r="E43" s="204" t="n"/>
      <c r="F43" s="204" t="n"/>
      <c r="G43" s="205" t="n"/>
      <c r="H43" s="289" t="n"/>
      <c r="I43" s="289" t="n"/>
      <c r="J43" s="289" t="n"/>
      <c r="K43" s="289" t="n"/>
      <c r="L43" s="289" t="n"/>
      <c r="M43" s="289" t="n"/>
      <c r="N43" s="290">
        <f>SUM(H43:M43)</f>
        <v/>
      </c>
      <c r="O43" s="208" t="n"/>
      <c r="P43" s="204" t="n"/>
      <c r="Q43" s="209" t="n"/>
    </row>
    <row r="44" ht="15.05" customHeight="1">
      <c r="A44" s="158" t="n"/>
      <c r="B44" s="159" t="n"/>
      <c r="C44" s="159" t="n"/>
      <c r="D44" s="160" t="n"/>
      <c r="E44" s="160" t="n"/>
      <c r="F44" s="160" t="n"/>
      <c r="G44" s="161" t="n"/>
      <c r="H44" s="291" t="n"/>
      <c r="I44" s="291" t="n"/>
      <c r="J44" s="291" t="n"/>
      <c r="K44" s="291" t="n"/>
      <c r="L44" s="291" t="n"/>
      <c r="M44" s="291" t="n"/>
      <c r="N44" s="292">
        <f>SUM(H44:M44)</f>
        <v/>
      </c>
      <c r="O44" s="164" t="n"/>
      <c r="P44" s="160" t="n"/>
      <c r="Q44" s="165" t="n"/>
    </row>
    <row r="45" ht="15.05" customHeight="1">
      <c r="A45" s="202" t="n"/>
      <c r="B45" s="203" t="n"/>
      <c r="C45" s="203" t="n"/>
      <c r="D45" s="204" t="n"/>
      <c r="E45" s="204" t="n"/>
      <c r="F45" s="204" t="n"/>
      <c r="G45" s="205" t="n"/>
      <c r="H45" s="289" t="n"/>
      <c r="I45" s="289" t="n"/>
      <c r="J45" s="289" t="n"/>
      <c r="K45" s="289" t="n"/>
      <c r="L45" s="289" t="n"/>
      <c r="M45" s="289" t="n"/>
      <c r="N45" s="290">
        <f>SUM(H45:M45)</f>
        <v/>
      </c>
      <c r="O45" s="208" t="n"/>
      <c r="P45" s="204" t="n"/>
      <c r="Q45" s="209" t="n"/>
    </row>
    <row r="46" ht="15.05" customHeight="1">
      <c r="A46" s="158" t="n"/>
      <c r="B46" s="159" t="n"/>
      <c r="C46" s="159" t="n"/>
      <c r="D46" s="160" t="n"/>
      <c r="E46" s="160" t="n"/>
      <c r="F46" s="160" t="n"/>
      <c r="G46" s="161" t="n"/>
      <c r="H46" s="291" t="n"/>
      <c r="I46" s="291" t="n"/>
      <c r="J46" s="291" t="n"/>
      <c r="K46" s="291" t="n"/>
      <c r="L46" s="291" t="n"/>
      <c r="M46" s="291" t="n"/>
      <c r="N46" s="292">
        <f>SUM(H46:M46)</f>
        <v/>
      </c>
      <c r="O46" s="164" t="n"/>
      <c r="P46" s="160" t="n"/>
      <c r="Q46" s="165" t="n"/>
    </row>
    <row r="47" ht="15.05" customHeight="1">
      <c r="A47" s="202" t="n"/>
      <c r="B47" s="203" t="n"/>
      <c r="C47" s="203" t="n"/>
      <c r="D47" s="204" t="n"/>
      <c r="E47" s="204" t="n"/>
      <c r="F47" s="204" t="n"/>
      <c r="G47" s="205" t="n"/>
      <c r="H47" s="289" t="n"/>
      <c r="I47" s="289" t="n"/>
      <c r="J47" s="289" t="n"/>
      <c r="K47" s="289" t="n"/>
      <c r="L47" s="289" t="n"/>
      <c r="M47" s="289" t="n"/>
      <c r="N47" s="290">
        <f>SUM(H47:M47)</f>
        <v/>
      </c>
      <c r="O47" s="208" t="n"/>
      <c r="P47" s="204" t="n"/>
      <c r="Q47" s="209" t="n"/>
    </row>
    <row r="48" ht="15.05" customHeight="1">
      <c r="A48" s="158" t="n"/>
      <c r="B48" s="159" t="n"/>
      <c r="C48" s="159" t="n"/>
      <c r="D48" s="160" t="n"/>
      <c r="E48" s="160" t="n"/>
      <c r="F48" s="160" t="n"/>
      <c r="G48" s="161" t="n"/>
      <c r="H48" s="291" t="n"/>
      <c r="I48" s="291" t="n"/>
      <c r="J48" s="291" t="n"/>
      <c r="K48" s="291" t="n"/>
      <c r="L48" s="291" t="n"/>
      <c r="M48" s="291" t="n"/>
      <c r="N48" s="292">
        <f>SUM(H48:M48)</f>
        <v/>
      </c>
      <c r="O48" s="164" t="n"/>
      <c r="P48" s="160" t="n"/>
      <c r="Q48" s="165" t="n"/>
    </row>
    <row r="49" ht="15.05" customHeight="1">
      <c r="A49" s="202" t="n"/>
      <c r="B49" s="203" t="n"/>
      <c r="C49" s="203" t="n"/>
      <c r="D49" s="204" t="n"/>
      <c r="E49" s="204" t="n"/>
      <c r="F49" s="204" t="n"/>
      <c r="G49" s="205" t="n"/>
      <c r="H49" s="289" t="n"/>
      <c r="I49" s="289" t="n"/>
      <c r="J49" s="289" t="n"/>
      <c r="K49" s="289" t="n"/>
      <c r="L49" s="289" t="n"/>
      <c r="M49" s="289" t="n"/>
      <c r="N49" s="290">
        <f>SUM(H49:M49)</f>
        <v/>
      </c>
      <c r="O49" s="208" t="n"/>
      <c r="P49" s="204" t="n"/>
      <c r="Q49" s="209" t="n"/>
    </row>
    <row r="50" ht="15.05" customHeight="1">
      <c r="A50" s="158" t="n"/>
      <c r="B50" s="159" t="n"/>
      <c r="C50" s="159" t="n"/>
      <c r="D50" s="160" t="n"/>
      <c r="E50" s="160" t="n"/>
      <c r="F50" s="160" t="n"/>
      <c r="G50" s="161" t="n"/>
      <c r="H50" s="291" t="n"/>
      <c r="I50" s="291" t="n"/>
      <c r="J50" s="291" t="n"/>
      <c r="K50" s="291" t="n"/>
      <c r="L50" s="291" t="n"/>
      <c r="M50" s="291" t="n"/>
      <c r="N50" s="292">
        <f>SUM(H50:M50)</f>
        <v/>
      </c>
      <c r="O50" s="164" t="n"/>
      <c r="P50" s="160" t="n"/>
      <c r="Q50" s="165" t="n"/>
    </row>
    <row r="51" ht="15.05" customHeight="1">
      <c r="A51" s="202" t="n"/>
      <c r="B51" s="203" t="n"/>
      <c r="C51" s="203" t="n"/>
      <c r="D51" s="204" t="n"/>
      <c r="E51" s="204" t="n"/>
      <c r="F51" s="204" t="n"/>
      <c r="G51" s="205" t="n"/>
      <c r="H51" s="289" t="n"/>
      <c r="I51" s="289" t="n"/>
      <c r="J51" s="289" t="n"/>
      <c r="K51" s="289" t="n"/>
      <c r="L51" s="289" t="n"/>
      <c r="M51" s="289" t="n"/>
      <c r="N51" s="290">
        <f>SUM(H51:M51)</f>
        <v/>
      </c>
      <c r="O51" s="208" t="n"/>
      <c r="P51" s="204" t="n"/>
      <c r="Q51" s="209" t="n"/>
    </row>
    <row r="52" ht="15.05" customHeight="1">
      <c r="A52" s="158" t="n"/>
      <c r="B52" s="159" t="n"/>
      <c r="C52" s="159" t="n"/>
      <c r="D52" s="160" t="n"/>
      <c r="E52" s="160" t="n"/>
      <c r="F52" s="160" t="n"/>
      <c r="G52" s="161" t="n"/>
      <c r="H52" s="291" t="n"/>
      <c r="I52" s="291" t="n"/>
      <c r="J52" s="291" t="n"/>
      <c r="K52" s="291" t="n"/>
      <c r="L52" s="291" t="n"/>
      <c r="M52" s="291" t="n"/>
      <c r="N52" s="292">
        <f>SUM(H52:M52)</f>
        <v/>
      </c>
      <c r="O52" s="164" t="n"/>
      <c r="P52" s="160" t="n"/>
      <c r="Q52" s="165" t="n"/>
    </row>
    <row r="53" ht="15.05" customHeight="1">
      <c r="A53" s="202" t="n"/>
      <c r="B53" s="203" t="n"/>
      <c r="C53" s="203" t="n"/>
      <c r="D53" s="204" t="n"/>
      <c r="E53" s="204" t="n"/>
      <c r="F53" s="204" t="n"/>
      <c r="G53" s="205" t="n"/>
      <c r="H53" s="289" t="n"/>
      <c r="I53" s="289" t="n"/>
      <c r="J53" s="289" t="n"/>
      <c r="K53" s="289" t="n"/>
      <c r="L53" s="289" t="n"/>
      <c r="M53" s="289" t="n"/>
      <c r="N53" s="290">
        <f>SUM(H53:M53)</f>
        <v/>
      </c>
      <c r="O53" s="208" t="n"/>
      <c r="P53" s="204" t="n"/>
      <c r="Q53" s="209" t="n"/>
    </row>
    <row r="54" ht="15.05" customHeight="1">
      <c r="A54" s="158" t="n"/>
      <c r="B54" s="159" t="n"/>
      <c r="C54" s="159" t="n"/>
      <c r="D54" s="160" t="n"/>
      <c r="E54" s="160" t="n"/>
      <c r="F54" s="160" t="n"/>
      <c r="G54" s="161" t="n"/>
      <c r="H54" s="291" t="n"/>
      <c r="I54" s="291" t="n"/>
      <c r="J54" s="291" t="n"/>
      <c r="K54" s="291" t="n"/>
      <c r="L54" s="291" t="n"/>
      <c r="M54" s="291" t="n"/>
      <c r="N54" s="292">
        <f>SUM(H54:M54)</f>
        <v/>
      </c>
      <c r="O54" s="164" t="n"/>
      <c r="P54" s="160" t="n"/>
      <c r="Q54" s="165" t="n"/>
    </row>
    <row r="55" ht="15.05" customHeight="1">
      <c r="A55" s="202" t="n"/>
      <c r="B55" s="203" t="n"/>
      <c r="C55" s="203" t="n"/>
      <c r="D55" s="204" t="n"/>
      <c r="E55" s="204" t="n"/>
      <c r="F55" s="204" t="n"/>
      <c r="G55" s="205" t="n"/>
      <c r="H55" s="289" t="n"/>
      <c r="I55" s="289" t="n"/>
      <c r="J55" s="289" t="n"/>
      <c r="K55" s="289" t="n"/>
      <c r="L55" s="289" t="n"/>
      <c r="M55" s="289" t="n"/>
      <c r="N55" s="290">
        <f>SUM(H55:M55)</f>
        <v/>
      </c>
      <c r="O55" s="208" t="n"/>
      <c r="P55" s="204" t="n"/>
      <c r="Q55" s="209" t="n"/>
    </row>
    <row r="56" ht="15.05" customHeight="1">
      <c r="A56" s="158" t="n"/>
      <c r="B56" s="159" t="n"/>
      <c r="C56" s="159" t="n"/>
      <c r="D56" s="160" t="n"/>
      <c r="E56" s="160" t="n"/>
      <c r="F56" s="160" t="n"/>
      <c r="G56" s="161" t="n"/>
      <c r="H56" s="291" t="n"/>
      <c r="I56" s="291" t="n"/>
      <c r="J56" s="291" t="n"/>
      <c r="K56" s="291" t="n"/>
      <c r="L56" s="291" t="n"/>
      <c r="M56" s="291" t="n"/>
      <c r="N56" s="292">
        <f>SUM(H56:M56)</f>
        <v/>
      </c>
      <c r="O56" s="164" t="n"/>
      <c r="P56" s="160" t="n"/>
      <c r="Q56" s="165" t="n"/>
    </row>
    <row r="57" ht="15.05" customHeight="1">
      <c r="A57" s="202" t="n"/>
      <c r="B57" s="203" t="n"/>
      <c r="C57" s="203" t="n"/>
      <c r="D57" s="204" t="n"/>
      <c r="E57" s="204" t="n"/>
      <c r="F57" s="204" t="n"/>
      <c r="G57" s="205" t="n"/>
      <c r="H57" s="289" t="n"/>
      <c r="I57" s="289" t="n"/>
      <c r="J57" s="289" t="n"/>
      <c r="K57" s="289" t="n"/>
      <c r="L57" s="289" t="n"/>
      <c r="M57" s="289" t="n"/>
      <c r="N57" s="290">
        <f>SUM(H57:M57)</f>
        <v/>
      </c>
      <c r="O57" s="208" t="n"/>
      <c r="P57" s="204" t="n"/>
      <c r="Q57" s="209" t="n"/>
    </row>
    <row r="58" ht="15.05" customHeight="1">
      <c r="A58" s="158" t="n"/>
      <c r="B58" s="159" t="n"/>
      <c r="C58" s="159" t="n"/>
      <c r="D58" s="160" t="n"/>
      <c r="E58" s="160" t="n"/>
      <c r="F58" s="160" t="n"/>
      <c r="G58" s="161" t="n"/>
      <c r="H58" s="291" t="n"/>
      <c r="I58" s="291" t="n"/>
      <c r="J58" s="291" t="n"/>
      <c r="K58" s="291" t="n"/>
      <c r="L58" s="291" t="n"/>
      <c r="M58" s="291" t="n"/>
      <c r="N58" s="292">
        <f>SUM(H58:M58)</f>
        <v/>
      </c>
      <c r="O58" s="164" t="n"/>
      <c r="P58" s="160" t="n"/>
      <c r="Q58" s="165" t="n"/>
    </row>
    <row r="59" ht="15.05" customHeight="1">
      <c r="A59" s="202" t="n"/>
      <c r="B59" s="203" t="n"/>
      <c r="C59" s="203" t="n"/>
      <c r="D59" s="204" t="n"/>
      <c r="E59" s="204" t="n"/>
      <c r="F59" s="204" t="n"/>
      <c r="G59" s="205" t="n"/>
      <c r="H59" s="289" t="n"/>
      <c r="I59" s="289" t="n"/>
      <c r="J59" s="289" t="n"/>
      <c r="K59" s="289" t="n"/>
      <c r="L59" s="289" t="n"/>
      <c r="M59" s="289" t="n"/>
      <c r="N59" s="290">
        <f>SUM(H59:M59)</f>
        <v/>
      </c>
      <c r="O59" s="208" t="n"/>
      <c r="P59" s="204" t="n"/>
      <c r="Q59" s="209" t="n"/>
    </row>
    <row r="60" ht="15.05" customHeight="1">
      <c r="A60" s="158" t="n"/>
      <c r="B60" s="159" t="n"/>
      <c r="C60" s="159" t="n"/>
      <c r="D60" s="160" t="n"/>
      <c r="E60" s="160" t="n"/>
      <c r="F60" s="160" t="n"/>
      <c r="G60" s="161" t="n"/>
      <c r="H60" s="291" t="n"/>
      <c r="I60" s="291" t="n"/>
      <c r="J60" s="291" t="n"/>
      <c r="K60" s="291" t="n"/>
      <c r="L60" s="291" t="n"/>
      <c r="M60" s="291" t="n"/>
      <c r="N60" s="292">
        <f>SUM(H60:M60)</f>
        <v/>
      </c>
      <c r="O60" s="164" t="n"/>
      <c r="P60" s="160" t="n"/>
      <c r="Q60" s="165" t="n"/>
    </row>
    <row r="61" ht="15.05" customHeight="1">
      <c r="A61" s="202" t="n"/>
      <c r="B61" s="203" t="n"/>
      <c r="C61" s="203" t="n"/>
      <c r="D61" s="204" t="n"/>
      <c r="E61" s="204" t="n"/>
      <c r="F61" s="204" t="n"/>
      <c r="G61" s="205" t="n"/>
      <c r="H61" s="289" t="n"/>
      <c r="I61" s="289" t="n"/>
      <c r="J61" s="289" t="n"/>
      <c r="K61" s="289" t="n"/>
      <c r="L61" s="289" t="n"/>
      <c r="M61" s="289" t="n"/>
      <c r="N61" s="290">
        <f>SUM(H61:M61)</f>
        <v/>
      </c>
      <c r="O61" s="208" t="n"/>
      <c r="P61" s="204" t="n"/>
      <c r="Q61" s="209" t="n"/>
    </row>
    <row r="62" ht="15.05" customHeight="1">
      <c r="A62" s="158" t="n"/>
      <c r="B62" s="159" t="n"/>
      <c r="C62" s="159" t="n"/>
      <c r="D62" s="160" t="n"/>
      <c r="E62" s="160" t="n"/>
      <c r="F62" s="160" t="n"/>
      <c r="G62" s="161" t="n"/>
      <c r="H62" s="291" t="n"/>
      <c r="I62" s="291" t="n"/>
      <c r="J62" s="291" t="n"/>
      <c r="K62" s="291" t="n"/>
      <c r="L62" s="291" t="n"/>
      <c r="M62" s="291" t="n"/>
      <c r="N62" s="292">
        <f>SUM(H62:M62)</f>
        <v/>
      </c>
      <c r="O62" s="164" t="n"/>
      <c r="P62" s="160" t="n"/>
      <c r="Q62" s="165" t="n"/>
    </row>
    <row r="63" ht="15.05" customHeight="1" thickBot="1">
      <c r="A63" s="210" t="n"/>
      <c r="B63" s="211" t="n"/>
      <c r="C63" s="211" t="n"/>
      <c r="D63" s="212" t="n"/>
      <c r="E63" s="212" t="n"/>
      <c r="F63" s="212" t="n"/>
      <c r="G63" s="213" t="n"/>
      <c r="H63" s="293" t="n"/>
      <c r="I63" s="293" t="n"/>
      <c r="J63" s="293" t="n"/>
      <c r="K63" s="293" t="n"/>
      <c r="L63" s="293" t="n"/>
      <c r="M63" s="293" t="n"/>
      <c r="N63" s="294">
        <f>SUM(H63:M63)</f>
        <v/>
      </c>
      <c r="O63" s="216" t="n"/>
      <c r="P63" s="212" t="n"/>
      <c r="Q63" s="217" t="n"/>
    </row>
    <row r="64" ht="20.05" customHeight="1" thickBot="1">
      <c r="A64" s="220" t="n"/>
      <c r="B64" s="221" t="n"/>
      <c r="C64" s="221" t="n"/>
      <c r="D64" s="221" t="n"/>
      <c r="E64" s="221" t="n"/>
      <c r="F64" s="169" t="inlineStr">
        <is>
          <t>SUBTOTAL ANEXO 3</t>
        </is>
      </c>
      <c r="G64" s="170" t="n"/>
      <c r="H64" s="295">
        <f>SUM(H40:H63)</f>
        <v/>
      </c>
      <c r="I64" s="295">
        <f>SUM(I40:I63)</f>
        <v/>
      </c>
      <c r="J64" s="295">
        <f>SUM(J40:J63)</f>
        <v/>
      </c>
      <c r="K64" s="295">
        <f>SUM(K40:K63)</f>
        <v/>
      </c>
      <c r="L64" s="295">
        <f>SUM(L40:L63)</f>
        <v/>
      </c>
      <c r="M64" s="295">
        <f>SUM(M40:M63)</f>
        <v/>
      </c>
      <c r="N64" s="296">
        <f>SUM(N40:N63)</f>
        <v/>
      </c>
      <c r="O64" s="221" t="n"/>
      <c r="P64" s="221" t="n"/>
      <c r="Q64" s="222" t="n"/>
    </row>
    <row r="65" ht="8" customHeight="1">
      <c r="A65" s="144" t="n"/>
      <c r="B65" s="144" t="n"/>
      <c r="C65" s="144" t="n"/>
      <c r="D65" s="144" t="n"/>
      <c r="E65" s="144" t="n"/>
      <c r="F65" s="144" t="n"/>
      <c r="G65" s="144" t="n"/>
      <c r="H65" s="144" t="n"/>
      <c r="I65" s="144" t="n"/>
      <c r="J65" s="144" t="n"/>
      <c r="K65" s="144" t="n"/>
      <c r="L65" s="144" t="n"/>
      <c r="M65" s="144" t="n"/>
      <c r="N65" s="144" t="n"/>
      <c r="O65" s="144" t="n"/>
      <c r="P65" s="144" t="n"/>
      <c r="Q65" s="144" t="n"/>
    </row>
    <row r="66" ht="8" customHeight="1">
      <c r="A66" s="143" t="inlineStr">
        <is>
          <t>GASTOS SIN DOCUMENTACIÓN SUSTENTATORIA - DECLARACIÓN JURADA (Anexo 9)</t>
        </is>
      </c>
      <c r="B66" s="144" t="n"/>
      <c r="C66" s="144" t="n"/>
      <c r="D66" s="144" t="n"/>
      <c r="E66" s="144" t="n"/>
      <c r="F66" s="144" t="n"/>
      <c r="G66" s="144" t="n"/>
      <c r="H66" s="144" t="n"/>
      <c r="I66" s="144" t="n"/>
      <c r="J66" s="144" t="n"/>
      <c r="K66" s="144" t="n"/>
      <c r="L66" s="144" t="n"/>
      <c r="M66" s="144" t="n"/>
      <c r="N66" s="144" t="n"/>
      <c r="O66" s="144" t="n"/>
      <c r="P66" s="144" t="n"/>
      <c r="Q66" s="144" t="n"/>
    </row>
    <row r="67" ht="25.05" customHeight="1" thickBot="1">
      <c r="A67" s="142" t="inlineStr">
        <is>
          <t>N°</t>
        </is>
      </c>
      <c r="B67" s="142" t="inlineStr">
        <is>
          <t>FECHA</t>
        </is>
      </c>
      <c r="C67" s="142" t="inlineStr">
        <is>
          <t>CONCEPTO</t>
        </is>
      </c>
      <c r="D67" s="142" t="inlineStr">
        <is>
          <t>DESCRIPCIÓN</t>
        </is>
      </c>
      <c r="E67" s="142" t="inlineStr">
        <is>
          <t>SUBCATEGORÍA 6.4.18</t>
        </is>
      </c>
      <c r="F67" s="142" t="inlineStr">
        <is>
          <t>TOPE APLICABLE</t>
        </is>
      </c>
      <c r="G67" s="142" t="inlineStr">
        <is>
          <t>PARTIDA</t>
        </is>
      </c>
      <c r="H67" s="142" t="inlineStr">
        <is>
          <t>Día 1</t>
        </is>
      </c>
      <c r="I67" s="142" t="inlineStr">
        <is>
          <t>Día 2</t>
        </is>
      </c>
      <c r="J67" s="142" t="inlineStr">
        <is>
          <t>Día 3</t>
        </is>
      </c>
      <c r="K67" s="142" t="inlineStr">
        <is>
          <t>Día 4</t>
        </is>
      </c>
      <c r="L67" s="142" t="inlineStr">
        <is>
          <t>Día 5</t>
        </is>
      </c>
      <c r="M67" s="142" t="inlineStr">
        <is>
          <t>Día 6</t>
        </is>
      </c>
      <c r="N67" s="142" t="inlineStr">
        <is>
          <t>TOTAL</t>
        </is>
      </c>
      <c r="O67" s="142" t="inlineStr">
        <is>
          <t>ARCHIVO PDF</t>
        </is>
      </c>
      <c r="P67" s="142" t="inlineStr">
        <is>
          <t>PÁG.</t>
        </is>
      </c>
      <c r="Q67" s="144" t="n"/>
    </row>
    <row r="68" ht="22.1" customHeight="1" thickBot="1">
      <c r="A68" s="173" t="n"/>
      <c r="B68" s="174" t="n"/>
      <c r="C68" s="174" t="n"/>
      <c r="D68" s="174" t="n"/>
      <c r="E68" s="174" t="n"/>
      <c r="F68" s="174" t="n"/>
      <c r="G68" s="174" t="n"/>
      <c r="H68" s="297" t="n"/>
      <c r="I68" s="297" t="n"/>
      <c r="J68" s="297" t="n"/>
      <c r="K68" s="297" t="n"/>
      <c r="L68" s="297" t="n"/>
      <c r="M68" s="297" t="n"/>
      <c r="N68" s="297">
        <f>SUM(H68:M68)</f>
        <v/>
      </c>
      <c r="O68" s="174" t="n"/>
      <c r="P68" s="176" t="n"/>
      <c r="Q68" s="144" t="n"/>
    </row>
    <row r="69" ht="15.05" customHeight="1">
      <c r="A69" s="150" t="n"/>
      <c r="B69" s="151" t="n"/>
      <c r="C69" s="152" t="n"/>
      <c r="D69" s="152" t="n"/>
      <c r="E69" s="152" t="n"/>
      <c r="F69" s="152" t="n"/>
      <c r="G69" s="152" t="n"/>
      <c r="H69" s="298" t="n"/>
      <c r="I69" s="298" t="n"/>
      <c r="J69" s="298" t="n"/>
      <c r="K69" s="298" t="n"/>
      <c r="L69" s="298" t="n"/>
      <c r="M69" s="298" t="n"/>
      <c r="N69" s="299">
        <f>SUM(H69:M69)</f>
        <v/>
      </c>
      <c r="O69" s="152" t="n"/>
      <c r="P69" s="157" t="n"/>
      <c r="Q69" s="144" t="n"/>
    </row>
    <row r="70" ht="15.05" customHeight="1">
      <c r="A70" s="202" t="n"/>
      <c r="B70" s="203" t="n"/>
      <c r="C70" s="204" t="n"/>
      <c r="D70" s="204" t="n"/>
      <c r="E70" s="204" t="n"/>
      <c r="F70" s="204" t="n"/>
      <c r="G70" s="204" t="n"/>
      <c r="H70" s="300" t="n"/>
      <c r="I70" s="300" t="n"/>
      <c r="J70" s="300" t="n"/>
      <c r="K70" s="300" t="n"/>
      <c r="L70" s="300" t="n"/>
      <c r="M70" s="300" t="n"/>
      <c r="N70" s="301">
        <f>SUM(H70:M70)</f>
        <v/>
      </c>
      <c r="O70" s="204" t="n"/>
      <c r="P70" s="209" t="n"/>
      <c r="Q70" s="144" t="n"/>
    </row>
    <row r="71" ht="15.05" customFormat="1" customHeight="1" s="2">
      <c r="A71" s="158" t="n"/>
      <c r="B71" s="159" t="n"/>
      <c r="C71" s="160" t="n"/>
      <c r="D71" s="160" t="n"/>
      <c r="E71" s="160" t="n"/>
      <c r="F71" s="160" t="n"/>
      <c r="G71" s="160" t="n"/>
      <c r="H71" s="302" t="n"/>
      <c r="I71" s="302" t="n"/>
      <c r="J71" s="302" t="n"/>
      <c r="K71" s="302" t="n"/>
      <c r="L71" s="302" t="n"/>
      <c r="M71" s="302" t="n"/>
      <c r="N71" s="303">
        <f>SUM(H71:M71)</f>
        <v/>
      </c>
      <c r="O71" s="160" t="n"/>
      <c r="P71" s="165" t="n"/>
      <c r="Q71" s="144" t="n"/>
    </row>
    <row r="72" ht="15.05" customHeight="1">
      <c r="A72" s="202" t="n"/>
      <c r="B72" s="203" t="n"/>
      <c r="C72" s="204" t="n"/>
      <c r="D72" s="204" t="n"/>
      <c r="E72" s="204" t="n"/>
      <c r="F72" s="204" t="n"/>
      <c r="G72" s="204" t="n"/>
      <c r="H72" s="300" t="n"/>
      <c r="I72" s="300" t="n"/>
      <c r="J72" s="300" t="n"/>
      <c r="K72" s="300" t="n"/>
      <c r="L72" s="300" t="n"/>
      <c r="M72" s="300" t="n"/>
      <c r="N72" s="301">
        <f>SUM(H72:M72)</f>
        <v/>
      </c>
      <c r="O72" s="204" t="n"/>
      <c r="P72" s="209" t="n"/>
      <c r="Q72" s="144" t="n"/>
    </row>
    <row r="73" ht="15.05" customHeight="1">
      <c r="A73" s="158" t="n"/>
      <c r="B73" s="159" t="n"/>
      <c r="C73" s="160" t="n"/>
      <c r="D73" s="160" t="n"/>
      <c r="E73" s="160" t="n"/>
      <c r="F73" s="160" t="n"/>
      <c r="G73" s="160" t="n"/>
      <c r="H73" s="302" t="n"/>
      <c r="I73" s="302" t="n"/>
      <c r="J73" s="302" t="n"/>
      <c r="K73" s="302" t="n"/>
      <c r="L73" s="302" t="n"/>
      <c r="M73" s="302" t="n"/>
      <c r="N73" s="303">
        <f>SUM(H73:M73)</f>
        <v/>
      </c>
      <c r="O73" s="160" t="n"/>
      <c r="P73" s="165" t="n"/>
      <c r="Q73" s="144" t="n"/>
    </row>
    <row r="74" ht="15.05" customHeight="1">
      <c r="A74" s="202" t="n"/>
      <c r="B74" s="203" t="n"/>
      <c r="C74" s="204" t="n"/>
      <c r="D74" s="204" t="n"/>
      <c r="E74" s="204" t="n"/>
      <c r="F74" s="204" t="n"/>
      <c r="G74" s="204" t="n"/>
      <c r="H74" s="300" t="n"/>
      <c r="I74" s="300" t="n"/>
      <c r="J74" s="300" t="n"/>
      <c r="K74" s="300" t="n"/>
      <c r="L74" s="300" t="n"/>
      <c r="M74" s="300" t="n"/>
      <c r="N74" s="301">
        <f>SUM(H74:M74)</f>
        <v/>
      </c>
      <c r="O74" s="204" t="n"/>
      <c r="P74" s="209" t="n"/>
      <c r="Q74" s="144" t="n"/>
    </row>
    <row r="75" ht="15.05" customHeight="1">
      <c r="A75" s="158" t="n"/>
      <c r="B75" s="159" t="n"/>
      <c r="C75" s="160" t="n"/>
      <c r="D75" s="160" t="n"/>
      <c r="E75" s="160" t="n"/>
      <c r="F75" s="160" t="n"/>
      <c r="G75" s="160" t="n"/>
      <c r="H75" s="302" t="n"/>
      <c r="I75" s="302" t="n"/>
      <c r="J75" s="302" t="n"/>
      <c r="K75" s="302" t="n"/>
      <c r="L75" s="302" t="n"/>
      <c r="M75" s="302" t="n"/>
      <c r="N75" s="303">
        <f>SUM(H75:M75)</f>
        <v/>
      </c>
      <c r="O75" s="160" t="n"/>
      <c r="P75" s="165" t="n"/>
      <c r="Q75" s="144" t="n"/>
    </row>
    <row r="76" ht="15.05" customHeight="1">
      <c r="A76" s="202" t="n"/>
      <c r="B76" s="203" t="n"/>
      <c r="C76" s="204" t="n"/>
      <c r="D76" s="204" t="n"/>
      <c r="E76" s="204" t="n"/>
      <c r="F76" s="204" t="n"/>
      <c r="G76" s="204" t="n"/>
      <c r="H76" s="300" t="n"/>
      <c r="I76" s="300" t="n"/>
      <c r="J76" s="300" t="n"/>
      <c r="K76" s="300" t="n"/>
      <c r="L76" s="300" t="n"/>
      <c r="M76" s="300" t="n"/>
      <c r="N76" s="301">
        <f>SUM(H76:M76)</f>
        <v/>
      </c>
      <c r="O76" s="204" t="n"/>
      <c r="P76" s="209" t="n"/>
      <c r="Q76" s="144" t="n"/>
    </row>
    <row r="77" ht="15.05" customHeight="1">
      <c r="A77" s="158" t="n"/>
      <c r="B77" s="159" t="n"/>
      <c r="C77" s="160" t="n"/>
      <c r="D77" s="160" t="n"/>
      <c r="E77" s="160" t="n"/>
      <c r="F77" s="160" t="n"/>
      <c r="G77" s="160" t="n"/>
      <c r="H77" s="302" t="n"/>
      <c r="I77" s="302" t="n"/>
      <c r="J77" s="302" t="n"/>
      <c r="K77" s="302" t="n"/>
      <c r="L77" s="302" t="n"/>
      <c r="M77" s="302" t="n"/>
      <c r="N77" s="303">
        <f>SUM(H77:M77)</f>
        <v/>
      </c>
      <c r="O77" s="160" t="n"/>
      <c r="P77" s="165" t="n"/>
      <c r="Q77" s="144" t="n"/>
    </row>
    <row r="78" ht="15.05" customHeight="1">
      <c r="A78" s="202" t="n"/>
      <c r="B78" s="203" t="n"/>
      <c r="C78" s="204" t="n"/>
      <c r="D78" s="204" t="n"/>
      <c r="E78" s="204" t="n"/>
      <c r="F78" s="204" t="n"/>
      <c r="G78" s="204" t="n"/>
      <c r="H78" s="300" t="n"/>
      <c r="I78" s="300" t="n"/>
      <c r="J78" s="300" t="n"/>
      <c r="K78" s="300" t="n"/>
      <c r="L78" s="300" t="n"/>
      <c r="M78" s="300" t="n"/>
      <c r="N78" s="301">
        <f>SUM(H78:M78)</f>
        <v/>
      </c>
      <c r="O78" s="204" t="n"/>
      <c r="P78" s="209" t="n"/>
      <c r="Q78" s="144" t="n"/>
    </row>
    <row r="79" ht="15.05" customHeight="1" thickBot="1">
      <c r="A79" s="166" t="n"/>
      <c r="B79" s="167" t="n"/>
      <c r="C79" s="168" t="n"/>
      <c r="D79" s="168" t="n"/>
      <c r="E79" s="168" t="n"/>
      <c r="F79" s="168" t="n"/>
      <c r="G79" s="168" t="n"/>
      <c r="H79" s="304" t="n"/>
      <c r="I79" s="304" t="n"/>
      <c r="J79" s="304" t="n"/>
      <c r="K79" s="304" t="n"/>
      <c r="L79" s="304" t="n"/>
      <c r="M79" s="304" t="n"/>
      <c r="N79" s="305">
        <f>SUM(H79:M79)</f>
        <v/>
      </c>
      <c r="O79" s="160" t="n"/>
      <c r="P79" s="165" t="n"/>
      <c r="Q79" s="144" t="n"/>
    </row>
    <row r="80" ht="20.05" customHeight="1" thickBot="1">
      <c r="A80" s="223" t="n"/>
      <c r="B80" s="224" t="n"/>
      <c r="C80" s="224" t="n"/>
      <c r="D80" s="224" t="n"/>
      <c r="E80" s="224" t="n"/>
      <c r="F80" s="224" t="inlineStr">
        <is>
          <t>SUBTOTAL DJ</t>
        </is>
      </c>
      <c r="G80" s="224" t="n"/>
      <c r="H80" s="306">
        <f>SUM(H68:H79)</f>
        <v/>
      </c>
      <c r="I80" s="306">
        <f>SUM(I68:I79)</f>
        <v/>
      </c>
      <c r="J80" s="306">
        <f>SUM(J68:J79)</f>
        <v/>
      </c>
      <c r="K80" s="306">
        <f>SUM(K68:K79)</f>
        <v/>
      </c>
      <c r="L80" s="306">
        <f>SUM(L68:L79)</f>
        <v/>
      </c>
      <c r="M80" s="306">
        <f>SUM(M68:M79)</f>
        <v/>
      </c>
      <c r="N80" s="307">
        <f>SUM(H80:M80)</f>
        <v/>
      </c>
      <c r="O80" s="221" t="n"/>
      <c r="P80" s="222" t="n"/>
      <c r="Q80" s="144" t="n"/>
    </row>
    <row r="81" ht="22.1" customHeight="1" thickBot="1" thickTop="1">
      <c r="A81" s="231" t="n"/>
      <c r="B81" s="231" t="n"/>
      <c r="C81" s="231" t="n"/>
      <c r="D81" s="231" t="n"/>
      <c r="E81" s="231" t="n"/>
      <c r="F81" s="227" t="inlineStr">
        <is>
          <t>TOTAL GASTADO (1)+(2)</t>
        </is>
      </c>
      <c r="G81" s="228" t="n"/>
      <c r="H81" s="308">
        <f>H64+H80</f>
        <v/>
      </c>
      <c r="I81" s="308">
        <f>I64+I80</f>
        <v/>
      </c>
      <c r="J81" s="308">
        <f>J64+J80</f>
        <v/>
      </c>
      <c r="K81" s="308">
        <f>K64+K80</f>
        <v/>
      </c>
      <c r="L81" s="308">
        <f>L64+L80</f>
        <v/>
      </c>
      <c r="M81" s="308">
        <f>M64+M80</f>
        <v/>
      </c>
      <c r="N81" s="309">
        <f>N64+N80</f>
        <v/>
      </c>
      <c r="O81" s="144" t="n"/>
      <c r="P81" s="144" t="n"/>
      <c r="Q81" s="144" t="n"/>
    </row>
    <row r="82" ht="8" customHeight="1" thickBot="1" thickTop="1">
      <c r="A82" s="144" t="n"/>
      <c r="B82" s="144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144" t="n"/>
      <c r="P82" s="144" t="n"/>
      <c r="Q82" s="144" t="n"/>
    </row>
    <row r="83" ht="18" customHeight="1">
      <c r="A83" s="143" t="inlineStr">
        <is>
          <t>VALIDACIÓN TOPE DIARIO</t>
        </is>
      </c>
      <c r="B83" s="144" t="n"/>
      <c r="C83" s="144" t="n"/>
      <c r="D83" s="144" t="n"/>
      <c r="E83" s="144" t="n"/>
      <c r="F83" s="232" t="n"/>
      <c r="G83" s="233" t="n"/>
      <c r="H83" s="233" t="n"/>
      <c r="I83" s="233" t="n"/>
      <c r="J83" s="233" t="n"/>
      <c r="K83" s="233" t="n"/>
      <c r="L83" s="233" t="n"/>
      <c r="M83" s="234" t="n"/>
      <c r="N83" s="144" t="n"/>
      <c r="O83" s="144" t="n"/>
      <c r="P83" s="144" t="n"/>
      <c r="Q83" s="144" t="n"/>
    </row>
    <row r="84" ht="18" customHeight="1">
      <c r="A84" s="144" t="n"/>
      <c r="B84" s="144" t="n"/>
      <c r="C84" s="144" t="n"/>
      <c r="D84" s="144" t="n"/>
      <c r="E84" s="144" t="n"/>
      <c r="F84" s="181" t="inlineStr">
        <is>
          <t>TOPE DIARIO S/ (Escala-2, Num. 5.4)</t>
        </is>
      </c>
      <c r="G84" s="182" t="n"/>
      <c r="H84" s="235" t="n">
        <v>320</v>
      </c>
      <c r="I84" s="235" t="n">
        <v>320</v>
      </c>
      <c r="J84" s="235" t="n">
        <v>320</v>
      </c>
      <c r="K84" s="235" t="n">
        <v>320</v>
      </c>
      <c r="L84" s="235" t="n">
        <v>320</v>
      </c>
      <c r="M84" s="236" t="n">
        <v>320</v>
      </c>
      <c r="N84" s="144" t="n"/>
      <c r="O84" s="144" t="n"/>
      <c r="P84" s="144" t="n"/>
      <c r="Q84" s="144" t="n"/>
    </row>
    <row r="85" ht="18" customHeight="1">
      <c r="A85" s="144" t="n"/>
      <c r="B85" s="144" t="n"/>
      <c r="C85" s="144" t="n"/>
      <c r="D85" s="144" t="n"/>
      <c r="E85" s="144" t="n"/>
      <c r="F85" s="181" t="inlineStr">
        <is>
          <t>TOTAL GASTADO POR DÍA (sin Pasajes)</t>
        </is>
      </c>
      <c r="G85" s="182" t="n"/>
      <c r="H85" s="281">
        <f t="array" ref="H85">H81-SUMPRODUCT((H40:H63)*(LEFT(G40:G63,11)="2.3.2 1.2 1"))</f>
        <v/>
      </c>
      <c r="I85" s="281">
        <f t="array" ref="I85">I81-SUMPRODUCT((I40:I63)*(LEFT(G40:G63,11)="2.3.2 1.2 1"))</f>
        <v/>
      </c>
      <c r="J85" s="281">
        <f t="array" ref="J85">J81-SUMPRODUCT((J40:J63)*(LEFT(G40:G63,11)="2.3.2 1.2 1"))</f>
        <v/>
      </c>
      <c r="K85" s="281">
        <f t="array" ref="K85">K81-SUMPRODUCT((K40:K63)*(LEFT(G40:G63,11)="2.3.2 1.2 1"))</f>
        <v/>
      </c>
      <c r="L85" s="281">
        <f t="array" ref="L85">L81-SUMPRODUCT((L40:L63)*(LEFT(G40:G63,11)="2.3.2 1.2 1"))</f>
        <v/>
      </c>
      <c r="M85" s="282">
        <f t="array" ref="M85">M81-SUMPRODUCT((M40:M63)*(LEFT(G40:G63,11)="2.3.2 1.2 1"))</f>
        <v/>
      </c>
      <c r="N85" s="283">
        <f>SUM(H85:M85)</f>
        <v/>
      </c>
      <c r="O85" s="144" t="n"/>
      <c r="P85" s="144" t="n"/>
      <c r="Q85" s="144" t="n"/>
    </row>
    <row r="86" ht="18" customHeight="1">
      <c r="A86" s="144" t="n"/>
      <c r="B86" s="144" t="n"/>
      <c r="C86" s="144" t="n"/>
      <c r="D86" s="144" t="n"/>
      <c r="E86" s="144" t="n"/>
      <c r="F86" s="181" t="inlineStr">
        <is>
          <t>RESULTADO</t>
        </is>
      </c>
      <c r="G86" s="182" t="n"/>
      <c r="H86" s="239">
        <f>IF(H85&gt;H84,"SUPERA TOPE ⚠️",IF(H85=H84,"EXACTO","DENTRO ✅"))</f>
        <v/>
      </c>
      <c r="I86" s="251">
        <f>IF(I85&gt;I84,"SUPERA TOPE ⚠️",IF(I85=I84,"EXACTO","DENTRO ✅"))</f>
        <v/>
      </c>
      <c r="J86" s="239">
        <f>IF(J85&gt;J84,"SUPERA TOPE ⚠️",IF(J85=J84,"EXACTO","DENTRO ✅"))</f>
        <v/>
      </c>
      <c r="K86" s="239">
        <f>IF(K85&gt;K84,"SUPERA TOPE ⚠️",IF(K85=K84,"EXACTO","DENTRO ✅"))</f>
        <v/>
      </c>
      <c r="L86" s="251">
        <f>IF(L85&gt;L84,"SUPERA TOPE ⚠️",IF(L85=L84,"EXACTO","DENTRO ✅"))</f>
        <v/>
      </c>
      <c r="M86" s="240">
        <f>IF(M85&gt;M84,"SUPERA TOPE ⚠️",IF(M85=M84,"EXACTO","DENTRO ✅"))</f>
        <v/>
      </c>
      <c r="N86" s="144" t="n"/>
      <c r="O86" s="144" t="n"/>
      <c r="P86" s="144" t="n"/>
      <c r="Q86" s="144" t="n"/>
    </row>
    <row r="87" ht="18" customHeight="1" thickBot="1">
      <c r="A87" s="144" t="n"/>
      <c r="B87" s="144" t="n"/>
      <c r="C87" s="144" t="n"/>
      <c r="D87" s="144" t="n"/>
      <c r="E87" s="144" t="n"/>
      <c r="F87" s="184" t="inlineStr">
        <is>
          <t>EXCESO S/</t>
        </is>
      </c>
      <c r="G87" s="185" t="n"/>
      <c r="H87" s="310" t="n"/>
      <c r="I87" s="310" t="n"/>
      <c r="J87" s="310" t="n"/>
      <c r="K87" s="310" t="n"/>
      <c r="L87" s="310" t="n"/>
      <c r="M87" s="311" t="n"/>
      <c r="N87" s="312">
        <f>SUM(H87:M87)</f>
        <v/>
      </c>
      <c r="O87" s="144" t="n"/>
      <c r="P87" s="144" t="n"/>
      <c r="Q87" s="144" t="n"/>
    </row>
    <row r="88" ht="8" customHeight="1" thickBot="1">
      <c r="A88" s="144" t="n"/>
      <c r="B88" s="144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144" t="n"/>
      <c r="P88" s="144" t="n"/>
      <c r="Q88" s="144" t="n"/>
    </row>
    <row r="89" ht="18" customHeight="1">
      <c r="A89" s="187" t="inlineStr">
        <is>
          <t>RESUMEN POR CLASIFICADOR PRESUPUESTAL</t>
        </is>
      </c>
      <c r="B89" s="243" t="n"/>
      <c r="C89" s="243" t="n"/>
      <c r="D89" s="243" t="n"/>
      <c r="E89" s="243" t="n"/>
      <c r="F89" s="243" t="n"/>
      <c r="G89" s="243" t="n"/>
      <c r="H89" s="244" t="n"/>
      <c r="I89" s="144" t="n"/>
      <c r="J89" s="144" t="n"/>
      <c r="K89" s="144" t="n"/>
      <c r="L89" s="144" t="n"/>
      <c r="M89" s="144" t="n"/>
      <c r="N89" s="144" t="n"/>
      <c r="O89" s="144" t="n"/>
      <c r="P89" s="144" t="n"/>
      <c r="Q89" s="144" t="n"/>
    </row>
    <row r="90" ht="18" customHeight="1">
      <c r="A90" s="254" t="inlineStr">
        <is>
          <t>CLASIFICADOR</t>
        </is>
      </c>
      <c r="B90" s="255" t="inlineStr">
        <is>
          <t>DESCRIPCIÓN</t>
        </is>
      </c>
      <c r="C90" s="255" t="inlineStr">
        <is>
          <t>OTORGADO S/</t>
        </is>
      </c>
      <c r="D90" s="255" t="inlineStr">
        <is>
          <t>GASTADO ANX3 S/</t>
        </is>
      </c>
      <c r="E90" s="255" t="inlineStr">
        <is>
          <t>GASTADO DJ S/</t>
        </is>
      </c>
      <c r="F90" s="255" t="inlineStr">
        <is>
          <t>TOTAL GASTADO S/</t>
        </is>
      </c>
      <c r="G90" s="255" t="inlineStr">
        <is>
          <t>SALDO / DEVOLUC. S/</t>
        </is>
      </c>
      <c r="H90" s="256" t="inlineStr">
        <is>
          <t>ESTADO</t>
        </is>
      </c>
      <c r="I90" s="144" t="n"/>
      <c r="J90" s="144" t="n"/>
      <c r="K90" s="144" t="n"/>
      <c r="L90" s="144" t="n"/>
      <c r="M90" s="144" t="n"/>
      <c r="N90" s="144" t="n"/>
      <c r="O90" s="144" t="n"/>
      <c r="P90" s="144" t="n"/>
      <c r="Q90" s="144" t="n"/>
    </row>
    <row r="91" ht="18" customHeight="1">
      <c r="A91" s="188" t="inlineStr">
        <is>
          <t>2.3.2 1.2 1</t>
        </is>
      </c>
      <c r="B91" s="189" t="inlineStr">
        <is>
          <t>Pasajes y Gastos de Transporte</t>
        </is>
      </c>
      <c r="C91" s="190" t="n"/>
      <c r="D91" s="190">
        <f t="array" ref="D91">SUMPRODUCT((LEFT(G40:G63,11)="2.3.2 1.2 1")*N40:N63)</f>
        <v/>
      </c>
      <c r="E91" s="190" t="n">
        <v>0</v>
      </c>
      <c r="F91" s="190">
        <f>D91+E91</f>
        <v/>
      </c>
      <c r="G91" s="190">
        <f>C91-F91</f>
        <v/>
      </c>
      <c r="H91" s="191">
        <f>IF(F91&gt;C91,"EXCEDE ⚠️","OK ✅")</f>
        <v/>
      </c>
      <c r="I91" s="144" t="n"/>
      <c r="J91" s="144" t="n"/>
      <c r="K91" s="144" t="n"/>
      <c r="L91" s="144" t="n"/>
      <c r="M91" s="144" t="n"/>
      <c r="N91" s="144" t="n"/>
      <c r="O91" s="144" t="n"/>
      <c r="P91" s="144" t="n"/>
      <c r="Q91" s="144" t="n"/>
    </row>
    <row r="92" ht="18" customHeight="1">
      <c r="A92" s="188" t="inlineStr">
        <is>
          <t>2.3.2 1.2 2</t>
        </is>
      </c>
      <c r="B92" s="189" t="inlineStr">
        <is>
          <t>Viáticos y Asignaciones por Comisión</t>
        </is>
      </c>
      <c r="C92" s="190" t="n"/>
      <c r="D92" s="190">
        <f t="array" ref="D92">SUMPRODUCT((LEFT(G40:G63,11)="2.3.2 1.2 2")*N40:N63)</f>
        <v/>
      </c>
      <c r="E92" s="190">
        <f t="array" ref="E92">SUMPRODUCT((LEFT(G68:G79,11)="2.3.2 1.2 2")*N68:N79)</f>
        <v/>
      </c>
      <c r="F92" s="190">
        <f>D92+E92</f>
        <v/>
      </c>
      <c r="G92" s="190">
        <f>C92-F92</f>
        <v/>
      </c>
      <c r="H92" s="191">
        <f>IF(F92&gt;C92,"EXCEDE ⚠️","OK ✅")</f>
        <v/>
      </c>
      <c r="I92" s="144" t="n"/>
      <c r="J92" s="144" t="n"/>
      <c r="K92" s="144" t="n"/>
      <c r="L92" s="144" t="n"/>
      <c r="M92" s="144" t="n"/>
      <c r="N92" s="144" t="n"/>
      <c r="O92" s="144" t="n"/>
      <c r="P92" s="144" t="n"/>
      <c r="Q92" s="144" t="n"/>
    </row>
    <row r="93" ht="18" customHeight="1" thickBot="1">
      <c r="A93" s="245" t="inlineStr">
        <is>
          <t>TOTAL</t>
        </is>
      </c>
      <c r="B93" s="248" t="n"/>
      <c r="C93" s="246">
        <f>SUM(C91:C92)</f>
        <v/>
      </c>
      <c r="D93" s="246">
        <f>SUM(D91:D92)</f>
        <v/>
      </c>
      <c r="E93" s="246">
        <f>SUM(E91:E92)</f>
        <v/>
      </c>
      <c r="F93" s="246">
        <f>SUM(F91:F92)</f>
        <v/>
      </c>
      <c r="G93" s="246">
        <f>SUM(G91:G92)</f>
        <v/>
      </c>
      <c r="H93" s="247">
        <f>IF(F93&gt;C93,"EXCEDE ⚠️","OK ✅")</f>
        <v/>
      </c>
      <c r="I93" s="144" t="n"/>
      <c r="J93" s="144" t="n"/>
      <c r="K93" s="144" t="n"/>
      <c r="L93" s="144" t="n"/>
      <c r="M93" s="144" t="n"/>
      <c r="N93" s="144" t="n"/>
      <c r="O93" s="144" t="n"/>
      <c r="P93" s="144" t="n"/>
      <c r="Q93" s="144" t="n"/>
    </row>
    <row r="94" ht="8" customHeight="1" thickBot="1">
      <c r="A94" s="144" t="n"/>
      <c r="B94" s="144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144" t="n"/>
      <c r="P94" s="144" t="n"/>
      <c r="Q94" s="144" t="n"/>
    </row>
    <row r="95" ht="18" customHeight="1">
      <c r="A95" s="192" t="inlineStr">
        <is>
          <t>VALIDACIÓN TOPE 30% DECLARACIÓN JURADA</t>
        </is>
      </c>
      <c r="B95" s="249" t="n"/>
      <c r="C95" s="249" t="n"/>
      <c r="D95" s="250" t="n"/>
      <c r="E95" s="144" t="n"/>
      <c r="F95" s="144" t="n"/>
      <c r="G95" s="144" t="n"/>
      <c r="H95" s="144" t="n"/>
      <c r="I95" s="144" t="n"/>
      <c r="J95" s="144" t="n"/>
      <c r="K95" s="144" t="n"/>
      <c r="L95" s="144" t="n"/>
      <c r="M95" s="144" t="n"/>
      <c r="N95" s="144" t="n"/>
      <c r="O95" s="144" t="n"/>
      <c r="P95" s="144" t="n"/>
      <c r="Q95" s="144" t="n"/>
    </row>
    <row r="96" ht="18" customHeight="1">
      <c r="A96" s="193" t="inlineStr">
        <is>
          <t>Viático otorgado (2.3.2 1.2 2)</t>
        </is>
      </c>
      <c r="B96" s="194" t="n"/>
      <c r="C96" s="195">
        <f>C92</f>
        <v/>
      </c>
      <c r="D96" s="196" t="n"/>
      <c r="E96" s="144" t="n"/>
      <c r="F96" s="144" t="n"/>
      <c r="G96" s="144" t="n"/>
      <c r="H96" s="144" t="n"/>
      <c r="I96" s="144" t="n"/>
      <c r="J96" s="144" t="n"/>
      <c r="K96" s="144" t="n"/>
      <c r="L96" s="144" t="n"/>
      <c r="M96" s="144" t="n"/>
      <c r="N96" s="144" t="n"/>
      <c r="O96" s="144" t="n"/>
      <c r="P96" s="144" t="n"/>
      <c r="Q96" s="144" t="n"/>
    </row>
    <row r="97" ht="18" customHeight="1">
      <c r="A97" s="193" t="inlineStr">
        <is>
          <t>Tope 30% máximo en DJ</t>
        </is>
      </c>
      <c r="B97" s="194" t="n"/>
      <c r="C97" s="195">
        <f>C96*0.3</f>
        <v/>
      </c>
      <c r="D97" s="196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44" t="n"/>
      <c r="P97" s="144" t="n"/>
      <c r="Q97" s="144" t="n"/>
    </row>
    <row r="98" ht="18" customHeight="1">
      <c r="A98" s="193" t="inlineStr">
        <is>
          <t>Total gastado en DJ</t>
        </is>
      </c>
      <c r="B98" s="194" t="n"/>
      <c r="C98" s="195">
        <f>N80</f>
        <v/>
      </c>
      <c r="D98" s="196" t="n"/>
      <c r="E98" s="144" t="n"/>
      <c r="F98" s="144" t="n"/>
      <c r="G98" s="144" t="n"/>
      <c r="H98" s="144" t="n"/>
      <c r="I98" s="144" t="n"/>
      <c r="J98" s="144" t="n"/>
      <c r="K98" s="144" t="n"/>
      <c r="L98" s="144" t="n"/>
      <c r="M98" s="144" t="n"/>
      <c r="N98" s="144" t="n"/>
      <c r="O98" s="144" t="n"/>
      <c r="P98" s="144" t="n"/>
      <c r="Q98" s="144" t="n"/>
    </row>
    <row r="99" ht="18" customHeight="1" thickBot="1">
      <c r="A99" s="197" t="inlineStr">
        <is>
          <t>Diferencia (margen)</t>
        </is>
      </c>
      <c r="B99" s="198" t="n"/>
      <c r="C99" s="199">
        <f>C97-C98</f>
        <v/>
      </c>
      <c r="D99" s="200">
        <f>IF(C98&gt;C97,"SUPERA 30% ⚠️","DENTRO DEL 30% ✅")</f>
        <v/>
      </c>
      <c r="E99" s="144" t="n"/>
      <c r="F99" s="144" t="n"/>
      <c r="G99" s="144" t="n"/>
      <c r="H99" s="144" t="n"/>
      <c r="I99" s="144" t="n"/>
      <c r="J99" s="144" t="n"/>
      <c r="K99" s="144" t="n"/>
      <c r="L99" s="144" t="n"/>
      <c r="M99" s="144" t="n"/>
      <c r="N99" s="144" t="n"/>
      <c r="O99" s="144" t="n"/>
      <c r="P99" s="144" t="n"/>
      <c r="Q99" s="144" t="n"/>
    </row>
    <row r="100" ht="8" customHeight="1" thickBot="1">
      <c r="A100" s="144" t="n"/>
      <c r="B100" s="144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144" t="n"/>
      <c r="P100" s="144" t="n"/>
      <c r="Q100" s="144" t="n"/>
    </row>
    <row r="101" ht="18" customHeight="1">
      <c r="A101" s="192" t="inlineStr">
        <is>
          <t>CUADRE FINAL</t>
        </is>
      </c>
      <c r="B101" s="249" t="n"/>
      <c r="C101" s="249" t="n"/>
      <c r="D101" s="250" t="n"/>
      <c r="E101" s="144" t="n"/>
      <c r="F101" s="144" t="n"/>
      <c r="G101" s="144" t="n"/>
      <c r="H101" s="144" t="n"/>
      <c r="I101" s="144" t="n"/>
      <c r="J101" s="144" t="n"/>
      <c r="K101" s="144" t="n"/>
      <c r="L101" s="144" t="n"/>
      <c r="M101" s="144" t="n"/>
      <c r="N101" s="144" t="n"/>
      <c r="O101" s="144" t="n"/>
      <c r="P101" s="144" t="n"/>
      <c r="Q101" s="144" t="n"/>
    </row>
    <row r="102" ht="18" customHeight="1">
      <c r="A102" s="193" t="inlineStr">
        <is>
          <t>Monto recibido (Planilla)</t>
        </is>
      </c>
      <c r="B102" s="194" t="n"/>
      <c r="C102" s="195" t="n"/>
      <c r="D102" s="196" t="n"/>
      <c r="E102" s="144" t="n"/>
      <c r="F102" s="144" t="n"/>
      <c r="G102" s="144" t="n"/>
      <c r="H102" s="144" t="n"/>
      <c r="I102" s="144" t="n"/>
      <c r="J102" s="144" t="n"/>
      <c r="K102" s="144" t="n"/>
      <c r="L102" s="144" t="n"/>
      <c r="M102" s="144" t="n"/>
      <c r="N102" s="144" t="n"/>
      <c r="O102" s="144" t="n"/>
      <c r="P102" s="144" t="n"/>
      <c r="Q102" s="144" t="n"/>
    </row>
    <row r="103" ht="18" customHeight="1">
      <c r="A103" s="193" t="inlineStr">
        <is>
          <t>Total gastado (Anx3 + DJ)</t>
        </is>
      </c>
      <c r="B103" s="194" t="n"/>
      <c r="C103" s="195">
        <f>N81</f>
        <v/>
      </c>
      <c r="D103" s="196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44" t="n"/>
      <c r="P103" s="144" t="n"/>
      <c r="Q103" s="144" t="n"/>
    </row>
    <row r="104" ht="18" customHeight="1">
      <c r="A104" s="193" t="inlineStr">
        <is>
          <t>Devolución según Anexo 3</t>
        </is>
      </c>
      <c r="B104" s="194" t="n"/>
      <c r="C104" s="195">
        <f>C102-C103</f>
        <v/>
      </c>
      <c r="D104" s="196" t="n"/>
      <c r="E104" s="144" t="n"/>
      <c r="F104" s="144" t="n"/>
      <c r="G104" s="144" t="n"/>
      <c r="H104" s="144" t="n"/>
      <c r="I104" s="144" t="n"/>
      <c r="J104" s="144" t="n"/>
      <c r="K104" s="144" t="n"/>
      <c r="L104" s="144" t="n"/>
      <c r="M104" s="144" t="n"/>
      <c r="N104" s="144" t="n"/>
      <c r="O104" s="144" t="n"/>
      <c r="P104" s="144" t="n"/>
      <c r="Q104" s="144" t="n"/>
    </row>
    <row r="105" ht="18" customHeight="1" thickBot="1">
      <c r="A105" s="197" t="inlineStr">
        <is>
          <t>Voucher BN (Operación 3955869)</t>
        </is>
      </c>
      <c r="B105" s="198" t="n"/>
      <c r="C105" s="199" t="n"/>
      <c r="D105" s="201">
        <f>IF(C105=C104,"CUADRA ✅","DIFERENCIA S/ "&amp;TEXT(C105-C104,"#,##0.00")&amp;" ⚠️")</f>
        <v/>
      </c>
      <c r="E105" s="144" t="n"/>
      <c r="F105" s="144" t="n"/>
      <c r="G105" s="144" t="n"/>
      <c r="H105" s="144" t="n"/>
      <c r="I105" s="144" t="n"/>
      <c r="J105" s="144" t="n"/>
      <c r="K105" s="144" t="n"/>
      <c r="L105" s="144" t="n"/>
      <c r="M105" s="144" t="n"/>
      <c r="N105" s="144" t="n"/>
      <c r="O105" s="144" t="n"/>
      <c r="P105" s="144" t="n"/>
      <c r="Q105" s="144" t="n"/>
    </row>
    <row r="110" ht="3.8" customFormat="1" customHeight="1" s="2"/>
    <row r="120" ht="3.8" customFormat="1" customHeight="1" s="2"/>
    <row r="121" customFormat="1" s="2"/>
    <row r="135" ht="3.8" customFormat="1" customHeight="1" s="2"/>
    <row r="136" ht="14.9" customFormat="1" customHeight="1" s="2"/>
    <row r="137" ht="14.9" customFormat="1" customHeight="1" s="2"/>
    <row r="138" ht="14.9" customFormat="1" customHeight="1" s="2"/>
    <row r="139" ht="14.9" customFormat="1" customHeight="1" s="2"/>
    <row r="140" ht="14.9" customFormat="1" customHeight="1" s="2"/>
    <row r="141" ht="14.9" customFormat="1" customHeight="1" s="2"/>
    <row r="142" ht="3.8" customFormat="1" customHeight="1" s="2"/>
    <row r="143" ht="14.25" customHeight="1"/>
    <row r="151" customFormat="1" s="2"/>
    <row r="152" customFormat="1" s="2"/>
    <row r="153" customFormat="1" s="2"/>
    <row r="154" ht="3.8" customFormat="1" customHeight="1" s="2"/>
    <row r="155" customFormat="1" s="2"/>
    <row r="173" ht="14.9" customHeight="1"/>
  </sheetData>
  <mergeCells count="1">
    <mergeCell ref="A1:R1"/>
  </mergeCells>
  <conditionalFormatting sqref="J24">
    <cfRule type="expression" priority="1" dxfId="1">
      <formula>J24&gt;0</formula>
    </cfRule>
  </conditionalFormatting>
  <conditionalFormatting sqref="H86:M86">
    <cfRule type="containsText" priority="2" operator="containsText" text="Text">
      <formula>NOT(ISERROR(SEARCH("Text",H86)))</formula>
    </cfRule>
    <cfRule type="cellIs" priority="4" operator="equal" dxfId="5">
      <formula>"SUPERA TOPE ⚠️"</formula>
    </cfRule>
    <cfRule type="cellIs" priority="5" operator="equal" dxfId="6">
      <formula>"DENTRO ✅"</formula>
    </cfRule>
  </conditionalFormatting>
  <conditionalFormatting sqref="H86">
    <cfRule type="containsText" priority="3" operator="containsText" text="Text">
      <formula>NOT(ISERROR(SEARCH("Text",H86)))</formula>
    </cfRule>
  </conditionalFormatting>
  <conditionalFormatting sqref="D99">
    <cfRule type="cellIs" priority="6" operator="equal" dxfId="5">
      <formula>"SUPERA 30% ⚠️"</formula>
    </cfRule>
    <cfRule type="cellIs" priority="7" operator="equal" dxfId="6">
      <formula>"DENTRO DEL 30% ✅"</formula>
    </cfRule>
  </conditionalFormatting>
  <conditionalFormatting sqref="H91:H93">
    <cfRule type="cellIs" priority="8" operator="equal" dxfId="5">
      <formula>"EXCEDE ⚠️"</formula>
    </cfRule>
    <cfRule type="cellIs" priority="9" operator="equal" dxfId="6">
      <formula>"OK ✅"</formula>
    </cfRule>
  </conditionalFormatting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J38"/>
  <sheetViews>
    <sheetView showGridLines="0" workbookViewId="0">
      <selection activeCell="C9" sqref="C9"/>
    </sheetView>
  </sheetViews>
  <sheetFormatPr baseColWidth="10" defaultColWidth="9.109375" defaultRowHeight="15.05"/>
  <cols>
    <col width="4.6640625" customWidth="1" style="8" min="1" max="1"/>
    <col width="41.88671875" customWidth="1" style="8" min="2" max="2"/>
    <col width="10.44140625" customWidth="1" style="8" min="3" max="3"/>
    <col width="11.44140625" customWidth="1" style="8" min="4" max="4"/>
    <col width="18.109375" customWidth="1" style="8" min="5" max="5"/>
    <col width="20" customWidth="1" style="8" min="6" max="6"/>
    <col width="10.44140625" customWidth="1" style="8" min="7" max="7"/>
    <col width="33.33203125" customWidth="1" style="8" min="8" max="8"/>
    <col width="38.109375" customWidth="1" style="8" min="9" max="9"/>
    <col width="47.5546875" customWidth="1" style="8" min="10" max="10"/>
    <col width="92.6640625" customWidth="1" style="8" min="11" max="11"/>
    <col width="9.109375" customWidth="1" style="8" min="12" max="16384"/>
  </cols>
  <sheetData>
    <row r="1" ht="24.9" customHeight="1">
      <c r="A1" s="49" t="inlineStr">
        <is>
          <t>CHECKLIST DE DOCUMENTOS PARA RENDICIÓN DE VIÁTICOS</t>
        </is>
      </c>
      <c r="B1" s="50" t="n"/>
      <c r="C1" s="50" t="n"/>
      <c r="D1" s="50" t="n"/>
      <c r="E1" s="50" t="n"/>
      <c r="F1" s="50" t="n"/>
      <c r="G1" s="50" t="n"/>
      <c r="H1" s="50" t="n"/>
    </row>
    <row r="2" ht="18" customHeight="1">
      <c r="A2" s="51" t="inlineStr">
        <is>
          <t>Según Directiva RSG N° 023-2026-MINEDU (Versión 03, 05/02/2026)</t>
        </is>
      </c>
      <c r="B2" s="50" t="n"/>
      <c r="C2" s="50" t="n"/>
      <c r="D2" s="50" t="n"/>
      <c r="E2" s="50" t="n"/>
      <c r="F2" s="50" t="n"/>
      <c r="G2" s="50" t="n"/>
      <c r="H2" s="50" t="n"/>
    </row>
    <row r="3" ht="20.05" customHeight="1"/>
    <row r="4" ht="20.05" customHeight="1">
      <c r="A4" s="52" t="inlineStr">
        <is>
          <t>Nº Planilla:</t>
        </is>
      </c>
      <c r="B4" s="72" t="n"/>
      <c r="D4" s="52" t="n"/>
      <c r="E4" s="17" t="inlineStr">
        <is>
          <t>Comisionado:</t>
        </is>
      </c>
      <c r="G4" s="52" t="inlineStr">
        <is>
          <t>Órgano/Unidad:</t>
        </is>
      </c>
      <c r="H4" s="17" t="n"/>
    </row>
    <row r="5" ht="20.05" customHeight="1">
      <c r="A5" s="52" t="inlineStr">
        <is>
          <t>Fecha rendición:</t>
        </is>
      </c>
      <c r="B5" s="72" t="n"/>
      <c r="D5" s="133" t="n"/>
      <c r="E5" s="17" t="inlineStr">
        <is>
          <t>Tipo viaje:</t>
        </is>
      </c>
      <c r="G5" s="52" t="inlineStr">
        <is>
          <t>Locador?</t>
        </is>
      </c>
      <c r="H5" s="17" t="n"/>
    </row>
    <row r="6" ht="20.05" customHeight="1"/>
    <row r="7" ht="20.05" customHeight="1">
      <c r="A7" s="66" t="inlineStr">
        <is>
          <t>Nº</t>
        </is>
      </c>
      <c r="B7" s="61" t="inlineStr">
        <is>
          <t>DOCUMENTO</t>
        </is>
      </c>
      <c r="C7" s="61" t="inlineStr">
        <is>
          <t>ANEXO</t>
        </is>
      </c>
      <c r="D7" s="61" t="inlineStr">
        <is>
          <t>NUMERAL</t>
        </is>
      </c>
      <c r="E7" s="61" t="inlineStr">
        <is>
          <t>CUÁNDO APLICA</t>
        </is>
      </c>
      <c r="F7" s="61" t="inlineStr">
        <is>
          <t>FIRMAS</t>
        </is>
      </c>
      <c r="G7" s="61" t="inlineStr">
        <is>
          <t>PRESENTA</t>
        </is>
      </c>
      <c r="H7" s="86" t="inlineStr">
        <is>
          <t>OBSERVACIONES</t>
        </is>
      </c>
      <c r="I7" s="87" t="inlineStr">
        <is>
          <t>BASE LEGAL FIRMAS</t>
        </is>
      </c>
      <c r="J7" s="95" t="inlineStr">
        <is>
          <t>VERIFICACIÓN FIRMAS</t>
        </is>
      </c>
    </row>
    <row r="8" ht="20.05" customHeight="1">
      <c r="A8" s="67" t="inlineStr">
        <is>
          <t>DOCUMENTOS DE RENDICIÓN (Numeral 6.4.3)</t>
        </is>
      </c>
      <c r="B8" s="56" t="n"/>
      <c r="C8" s="56" t="n"/>
      <c r="D8" s="56" t="n"/>
      <c r="E8" s="56" t="n"/>
      <c r="F8" s="56" t="n"/>
      <c r="G8" s="56" t="n"/>
      <c r="H8" s="88" t="n"/>
      <c r="I8" s="92" t="inlineStr">
        <is>
          <t>Num. 6.4.3 a): Firmado por el Jefe UO que autorizó el viaje + VºBCoorAdmin en señal de conformidad.</t>
        </is>
      </c>
      <c r="J8" s="96" t="n"/>
    </row>
    <row r="9" ht="20.05" customHeight="1">
      <c r="A9" s="68" t="n">
        <v>1</v>
      </c>
      <c r="B9" s="57" t="inlineStr">
        <is>
          <t>Rendición de Cuentas por Comisión de Servicios</t>
        </is>
      </c>
      <c r="C9" s="58" t="inlineStr">
        <is>
          <t>Anexo 8</t>
        </is>
      </c>
      <c r="D9" s="59" t="inlineStr">
        <is>
          <t>6.4.3 a)</t>
        </is>
      </c>
      <c r="E9" s="58" t="inlineStr">
        <is>
          <t>Siempre</t>
        </is>
      </c>
      <c r="F9" s="60" t="inlineStr">
        <is>
          <t>Jefe UO + VºBCoorAdmin</t>
        </is>
      </c>
      <c r="G9" s="129" t="n"/>
      <c r="H9" s="89" t="n"/>
      <c r="I9" s="93" t="inlineStr">
        <is>
          <t>Num. 6.4.3 b) y Num. 4.1.10: Firma del Comisionado + Firma del Jefe UO + VºBCoorAdmin.</t>
        </is>
      </c>
      <c r="J9" s="97" t="n"/>
    </row>
    <row r="10" ht="20.05" customFormat="1" customHeight="1" s="14">
      <c r="A10" s="68" t="n">
        <v>2</v>
      </c>
      <c r="B10" s="57" t="inlineStr">
        <is>
          <t>Planilla de Viáticos</t>
        </is>
      </c>
      <c r="C10" s="58" t="inlineStr">
        <is>
          <t>Anexo 2</t>
        </is>
      </c>
      <c r="D10" s="59" t="inlineStr">
        <is>
          <t>6.4.3 b)</t>
        </is>
      </c>
      <c r="E10" s="58" t="inlineStr">
        <is>
          <t>Siempre</t>
        </is>
      </c>
      <c r="F10" s="60" t="inlineStr">
        <is>
          <t>Comis.+Jefe+VºBCoorAdmin</t>
        </is>
      </c>
      <c r="G10" s="129" t="n"/>
      <c r="H10" s="89" t="n"/>
      <c r="I10" s="93" t="inlineStr">
        <is>
          <t>Num. 6.4.3 c) y Num. 6.4.17: Firma del Comisionado.</t>
        </is>
      </c>
      <c r="J10" s="98" t="n"/>
    </row>
    <row r="11" ht="20.05" customFormat="1" customHeight="1" s="14">
      <c r="A11" s="68" t="n">
        <v>3</v>
      </c>
      <c r="B11" s="57" t="inlineStr">
        <is>
          <t>Declaración Jurada</t>
        </is>
      </c>
      <c r="C11" s="58" t="inlineStr">
        <is>
          <t>Anexo 9</t>
        </is>
      </c>
      <c r="D11" s="59" t="inlineStr">
        <is>
          <t>6.4.3 c)</t>
        </is>
      </c>
      <c r="E11" s="58" t="inlineStr">
        <is>
          <t>Si gastos sin CdP</t>
        </is>
      </c>
      <c r="F11" s="60" t="inlineStr">
        <is>
          <t>Comisionado</t>
        </is>
      </c>
      <c r="G11" s="129" t="n"/>
      <c r="H11" s="90" t="n"/>
      <c r="I11" s="93" t="inlineStr">
        <is>
          <t>Num. 6.4.3 d) y Num. 6.1.6: Firma del Comisionado + VºBCoorAdmin + Firma Jefe UO.</t>
        </is>
      </c>
      <c r="J11" s="97" t="n"/>
    </row>
    <row r="12" ht="20.05" customFormat="1" customHeight="1" s="14">
      <c r="A12" s="68" t="n">
        <v>4</v>
      </c>
      <c r="B12" s="57" t="inlineStr">
        <is>
          <t>Plan de Trabajo Diario</t>
        </is>
      </c>
      <c r="C12" s="58" t="inlineStr">
        <is>
          <t>Anexo 6</t>
        </is>
      </c>
      <c r="D12" s="59" t="inlineStr">
        <is>
          <t>6.4.3 d)</t>
        </is>
      </c>
      <c r="E12" s="58" t="inlineStr">
        <is>
          <t>Siempre*</t>
        </is>
      </c>
      <c r="F12" s="60" t="inlineStr">
        <is>
          <t>Comis.+Jefe+VºBCoorAdmin</t>
        </is>
      </c>
      <c r="G12" s="129" t="n"/>
      <c r="H12" s="90" t="n"/>
      <c r="I12" s="93" t="inlineStr">
        <is>
          <t>Num. 6.4.3 e): Presentado por comisionado ante Jefe UO. Firma Comisionado + Jefe UO + VºBCoorAdmin.</t>
        </is>
      </c>
      <c r="J12" s="99" t="n"/>
    </row>
    <row r="13" ht="20.05" customFormat="1" customHeight="1" s="14">
      <c r="A13" s="68" t="n">
        <v>5</v>
      </c>
      <c r="B13" s="57" t="inlineStr">
        <is>
          <t>Informe de Comisión de Planilla de Viáticos</t>
        </is>
      </c>
      <c r="C13" s="58" t="inlineStr">
        <is>
          <t>Anexo 7</t>
        </is>
      </c>
      <c r="D13" s="59" t="inlineStr">
        <is>
          <t>6.4.3 e)</t>
        </is>
      </c>
      <c r="E13" s="58" t="inlineStr">
        <is>
          <t>Siempre*</t>
        </is>
      </c>
      <c r="F13" s="60" t="inlineStr">
        <is>
          <t>Comis.+Jefe+VºBCoorAdmin</t>
        </is>
      </c>
      <c r="G13" s="129" t="n"/>
      <c r="H13" s="90" t="n"/>
      <c r="I13" s="93" t="inlineStr">
        <is>
          <t>Num. 6.4.3 f): Firma del Comisionado.</t>
        </is>
      </c>
      <c r="J13" s="97" t="n"/>
    </row>
    <row r="14" ht="20.05" customFormat="1" customHeight="1" s="14">
      <c r="A14" s="68" t="n">
        <v>6</v>
      </c>
      <c r="B14" s="57" t="inlineStr">
        <is>
          <t>Formato de Alertas sobre Situaciones que Requieran Atención Prioritaria por los Actores del Sector Educación</t>
        </is>
      </c>
      <c r="C14" s="58" t="inlineStr">
        <is>
          <t>Anexo 5</t>
        </is>
      </c>
      <c r="D14" s="59" t="inlineStr">
        <is>
          <t>6.4.3 f)</t>
        </is>
      </c>
      <c r="E14" s="58" t="inlineStr">
        <is>
          <t>Siempre*</t>
        </is>
      </c>
      <c r="F14" s="60" t="inlineStr">
        <is>
          <t>Comisionado</t>
        </is>
      </c>
      <c r="G14" s="129" t="n"/>
      <c r="H14" s="90" t="n"/>
      <c r="I14" s="93" t="inlineStr">
        <is>
          <t>Num. 6.4.3 g): Firmada por servidor civil de la institución donde se realizó la comisión (nombre, cargo, sello).</t>
        </is>
      </c>
      <c r="J14" s="98" t="n"/>
    </row>
    <row r="15" ht="20.05" customFormat="1" customHeight="1" s="14">
      <c r="A15" s="68" t="n">
        <v>7</v>
      </c>
      <c r="B15" s="57" t="inlineStr">
        <is>
          <t>Constancia en Comisión de Servicio</t>
        </is>
      </c>
      <c r="C15" s="58" t="inlineStr">
        <is>
          <t>Anexo 10</t>
        </is>
      </c>
      <c r="D15" s="59" t="inlineStr">
        <is>
          <t>6.4.3 g)</t>
        </is>
      </c>
      <c r="E15" s="58" t="inlineStr">
        <is>
          <t>Siempre*</t>
        </is>
      </c>
      <c r="F15" s="60" t="inlineStr">
        <is>
          <t>Servidor inst. destino</t>
        </is>
      </c>
      <c r="G15" s="129" t="n"/>
      <c r="H15" s="90" t="n"/>
      <c r="I15" s="93" t="inlineStr">
        <is>
          <t>Num. 6.4.3 h): Firma de servidor(es) de institución(es) donde se hizo supervisión/monitoreo.</t>
        </is>
      </c>
      <c r="J15" s="97" t="n"/>
    </row>
    <row r="16" ht="20.05" customFormat="1" customHeight="1" s="14">
      <c r="A16" s="68" t="n">
        <v>8</v>
      </c>
      <c r="B16" s="57" t="inlineStr">
        <is>
          <t>Constancia Supervisión/Monitoreo</t>
        </is>
      </c>
      <c r="C16" s="58" t="inlineStr">
        <is>
          <t>Anexo 11</t>
        </is>
      </c>
      <c r="D16" s="59" t="inlineStr">
        <is>
          <t>6.4.3 h)</t>
        </is>
      </c>
      <c r="E16" s="58" t="inlineStr">
        <is>
          <t>Si supervisión/monit.</t>
        </is>
      </c>
      <c r="F16" s="60" t="inlineStr">
        <is>
          <t>Servidor inst. destino</t>
        </is>
      </c>
      <c r="G16" s="129" t="n"/>
      <c r="H16" s="89" t="n"/>
      <c r="I16" s="93" t="inlineStr">
        <is>
          <t>Num. 6.4.3 i): No requiere firma adicional.</t>
        </is>
      </c>
      <c r="J16" s="100" t="n"/>
    </row>
    <row r="17" ht="20.05" customHeight="1">
      <c r="A17" s="68" t="n">
        <v>9</v>
      </c>
      <c r="B17" s="57" t="inlineStr">
        <is>
          <t>Tarjeta de Embarque (Boarding Pass)</t>
        </is>
      </c>
      <c r="C17" s="58" t="inlineStr">
        <is>
          <t>-</t>
        </is>
      </c>
      <c r="D17" s="59" t="inlineStr">
        <is>
          <t>6.4.3 i)</t>
        </is>
      </c>
      <c r="E17" s="58" t="inlineStr">
        <is>
          <t>Si viaje aéreo</t>
        </is>
      </c>
      <c r="F17" s="60" t="inlineStr">
        <is>
          <t>-</t>
        </is>
      </c>
      <c r="G17" s="129" t="n"/>
      <c r="H17" s="90" t="n"/>
      <c r="I17" s="93" t="inlineStr">
        <is>
          <t>Num. 6.4.3 j): Comprobantes originales conforme Reglamento CdP SUNAT.</t>
        </is>
      </c>
      <c r="J17" s="100" t="n"/>
    </row>
    <row r="18" ht="20.05" customFormat="1" customHeight="1" s="14">
      <c r="A18" s="68" t="n">
        <v>10</v>
      </c>
      <c r="B18" s="57" t="inlineStr">
        <is>
          <t>Comprobantes de Pago + Validación SUNAT</t>
        </is>
      </c>
      <c r="C18" s="58" t="inlineStr">
        <is>
          <t>-</t>
        </is>
      </c>
      <c r="D18" s="59" t="inlineStr">
        <is>
          <t>6.4.3 j)</t>
        </is>
      </c>
      <c r="E18" s="58" t="inlineStr">
        <is>
          <t>Siempre</t>
        </is>
      </c>
      <c r="F18" s="60" t="inlineStr">
        <is>
          <t>-</t>
        </is>
      </c>
      <c r="G18" s="129" t="n"/>
      <c r="H18" s="90" t="n"/>
      <c r="I18" s="93" t="inlineStr">
        <is>
          <t>Num. 6.4.3 k): Boletos de viaje/tickets.</t>
        </is>
      </c>
      <c r="J18" s="98" t="n"/>
    </row>
    <row r="19" ht="20.05" customFormat="1" customHeight="1" s="14">
      <c r="A19" s="68" t="n">
        <v>11</v>
      </c>
      <c r="B19" s="57" t="inlineStr">
        <is>
          <t>Pasajes (ticket electrónico / boleto de viaje)</t>
        </is>
      </c>
      <c r="C19" s="58" t="inlineStr">
        <is>
          <t>-</t>
        </is>
      </c>
      <c r="D19" s="59" t="inlineStr">
        <is>
          <t>6.4.3 k)</t>
        </is>
      </c>
      <c r="E19" s="58" t="inlineStr">
        <is>
          <t>Siempre</t>
        </is>
      </c>
      <c r="F19" s="60" t="inlineStr">
        <is>
          <t>-</t>
        </is>
      </c>
      <c r="G19" s="129" t="n"/>
      <c r="H19" s="89" t="n"/>
      <c r="I19" s="93" t="inlineStr">
        <is>
          <t>Num. 6.4.3 l): Copia depósito BN con VºBCaja OT.</t>
        </is>
      </c>
      <c r="J19" s="98" t="n"/>
    </row>
    <row r="20" ht="20.05" customFormat="1" customHeight="1" s="14">
      <c r="A20" s="68" t="n">
        <v>12</v>
      </c>
      <c r="B20" s="57" t="inlineStr">
        <is>
          <t>Copia depósito devolución + VºBCaja OT</t>
        </is>
      </c>
      <c r="C20" s="58" t="inlineStr">
        <is>
          <t>-</t>
        </is>
      </c>
      <c r="D20" s="59" t="inlineStr">
        <is>
          <t>6.4.3 l)</t>
        </is>
      </c>
      <c r="E20" s="58" t="inlineStr">
        <is>
          <t>Si hay devolución</t>
        </is>
      </c>
      <c r="F20" s="60" t="inlineStr">
        <is>
          <t>VºBCaja OT</t>
        </is>
      </c>
      <c r="G20" s="129" t="n"/>
      <c r="H20" s="90" t="n"/>
      <c r="I20" s="93" t="inlineStr">
        <is>
          <t>Num. 6.4.3 m) y Num. 4.1.13: OT emite CRE si factura &gt; S/700.</t>
        </is>
      </c>
      <c r="J20" s="98" t="n"/>
    </row>
    <row r="21" ht="20.05" customFormat="1" customHeight="1" s="14">
      <c r="A21" s="68" t="n">
        <v>13</v>
      </c>
      <c r="B21" s="57" t="inlineStr">
        <is>
          <t>Recibo Ingresos Retención IGV (3%)</t>
        </is>
      </c>
      <c r="C21" s="58" t="inlineStr">
        <is>
          <t>-</t>
        </is>
      </c>
      <c r="D21" s="59" t="inlineStr">
        <is>
          <t>6.4.3 m)</t>
        </is>
      </c>
      <c r="E21" s="58" t="inlineStr">
        <is>
          <t>Si factura &gt; S/700</t>
        </is>
      </c>
      <c r="F21" s="60" t="inlineStr">
        <is>
          <t>OT emite CRE</t>
        </is>
      </c>
      <c r="G21" s="129" t="n"/>
      <c r="H21" s="90" t="n"/>
      <c r="I21" s="93" t="inlineStr">
        <is>
          <t>Num. 6.4.3 m) y Num. 4.1.13: OT emite CRE si factura &gt; S/700.</t>
        </is>
      </c>
      <c r="J21" s="100" t="n"/>
    </row>
    <row r="22" ht="20.05" customFormat="1" customHeight="1" s="14">
      <c r="A22" s="67" t="inlineStr">
        <is>
          <t>DOCUMENTOS PREPARATORIOS (Numeral 6.1.7)</t>
        </is>
      </c>
      <c r="B22" s="56" t="n"/>
      <c r="C22" s="56" t="n"/>
      <c r="D22" s="56" t="n"/>
      <c r="E22" s="56" t="n"/>
      <c r="F22" s="56" t="n"/>
      <c r="G22" s="56" t="n"/>
      <c r="H22" s="88" t="n"/>
      <c r="I22" s="92" t="inlineStr">
        <is>
          <t>Num. 6.1.6 y 6.1.7 a): VºBCoorAdmin + Firma Jefe UO.</t>
        </is>
      </c>
      <c r="J22" s="96" t="n"/>
    </row>
    <row r="23" ht="20.05" customFormat="1" customHeight="1" s="14">
      <c r="A23" s="68" t="n">
        <v>14</v>
      </c>
      <c r="B23" s="57" t="inlineStr">
        <is>
          <t>Solicitud de Viáticos</t>
        </is>
      </c>
      <c r="C23" s="58" t="inlineStr">
        <is>
          <t>Anexo 1</t>
        </is>
      </c>
      <c r="D23" s="59" t="inlineStr">
        <is>
          <t>6.1.7 a)</t>
        </is>
      </c>
      <c r="E23" s="58" t="inlineStr">
        <is>
          <t>Siempre</t>
        </is>
      </c>
      <c r="F23" s="60" t="inlineStr">
        <is>
          <t>Jefe UO + VºBCoorAdmin</t>
        </is>
      </c>
      <c r="G23" s="129" t="n"/>
      <c r="H23" s="89" t="n"/>
      <c r="I23" s="93" t="inlineStr">
        <is>
          <t>Num. 6.1.7 c): VºBCoorAdmin + Firma Jefe UO.</t>
        </is>
      </c>
      <c r="J23" s="98" t="n"/>
    </row>
    <row r="24" ht="20.05" customFormat="1" customHeight="1" s="14">
      <c r="A24" s="68" t="n">
        <v>15</v>
      </c>
      <c r="B24" s="57" t="inlineStr">
        <is>
          <t>Solicitud de Seguro</t>
        </is>
      </c>
      <c r="C24" s="58" t="inlineStr">
        <is>
          <t>Anexo 3</t>
        </is>
      </c>
      <c r="D24" s="59" t="inlineStr">
        <is>
          <t>6.1.7 c)</t>
        </is>
      </c>
      <c r="E24" s="58" t="inlineStr">
        <is>
          <t>Siempre</t>
        </is>
      </c>
      <c r="F24" s="60" t="inlineStr">
        <is>
          <t>Jefe UO + VºBCoorAdmin</t>
        </is>
      </c>
      <c r="G24" s="129" t="n"/>
      <c r="H24" s="89" t="n"/>
      <c r="I24" s="93" t="inlineStr">
        <is>
          <t>Num. 6.1.5 y 6.1.7 d): Firma del Comisionado.</t>
        </is>
      </c>
      <c r="J24" s="98" t="n"/>
    </row>
    <row r="25" ht="20.05" customHeight="1">
      <c r="A25" s="68" t="n">
        <v>16</v>
      </c>
      <c r="B25" s="57" t="inlineStr">
        <is>
          <t>Compromiso de Devolución de Viáticos</t>
        </is>
      </c>
      <c r="C25" s="58" t="inlineStr">
        <is>
          <t>Anexo 4</t>
        </is>
      </c>
      <c r="D25" s="59" t="inlineStr">
        <is>
          <t>6.1.7 d)</t>
        </is>
      </c>
      <c r="E25" s="58" t="inlineStr">
        <is>
          <t>Siempre</t>
        </is>
      </c>
      <c r="F25" s="60" t="inlineStr">
        <is>
          <t>Comisionado</t>
        </is>
      </c>
      <c r="G25" s="129" t="n"/>
      <c r="H25" s="89" t="n"/>
      <c r="I25" s="93" t="inlineStr">
        <is>
          <t>Num. 6.1.7 f): Aprobado por Coord. Presupuesto.</t>
        </is>
      </c>
      <c r="J25" s="98" t="n"/>
    </row>
    <row r="26" ht="20.05" customHeight="1">
      <c r="A26" s="68" t="n">
        <v>17</v>
      </c>
      <c r="B26" s="57" t="inlineStr">
        <is>
          <t>Certificación de Crédito Presupuestario</t>
        </is>
      </c>
      <c r="C26" s="58" t="inlineStr">
        <is>
          <t>-</t>
        </is>
      </c>
      <c r="D26" s="59" t="inlineStr">
        <is>
          <t>6.1.7 f)</t>
        </is>
      </c>
      <c r="E26" s="58" t="inlineStr">
        <is>
          <t>Siempre</t>
        </is>
      </c>
      <c r="F26" s="60" t="inlineStr">
        <is>
          <t>Presupuesto</t>
        </is>
      </c>
      <c r="G26" s="129" t="n"/>
      <c r="H26" s="89" t="n"/>
      <c r="I26" s="93" t="inlineStr">
        <is>
          <t>Num. 6.2.2: Registrada por OT tras aprobación Gasto-Girado.</t>
        </is>
      </c>
      <c r="J26" s="98" t="n"/>
    </row>
    <row r="27" ht="20.05" customHeight="1">
      <c r="A27" s="68" t="n">
        <v>18</v>
      </c>
      <c r="B27" s="57" t="inlineStr">
        <is>
          <t>Nota de Pago</t>
        </is>
      </c>
      <c r="C27" s="58" t="inlineStr">
        <is>
          <t>-</t>
        </is>
      </c>
      <c r="D27" s="59" t="inlineStr">
        <is>
          <t>6.2.2</t>
        </is>
      </c>
      <c r="E27" s="58" t="inlineStr">
        <is>
          <t>Siempre</t>
        </is>
      </c>
      <c r="F27" s="60" t="inlineStr">
        <is>
          <t>OT</t>
        </is>
      </c>
      <c r="G27" s="129" t="n"/>
      <c r="H27" s="89" t="n"/>
      <c r="I27" s="93" t="inlineStr">
        <is>
          <t>Num. 6.1.7 g): Solo para locadores.</t>
        </is>
      </c>
      <c r="J27" s="98" t="n"/>
    </row>
    <row r="28" ht="20.05" customHeight="1">
      <c r="A28" s="68" t="n">
        <v>19</v>
      </c>
      <c r="B28" s="57" t="inlineStr">
        <is>
          <t>Orden Servicio + SCTR + TDR (locadores)</t>
        </is>
      </c>
      <c r="C28" s="58" t="inlineStr">
        <is>
          <t>-</t>
        </is>
      </c>
      <c r="D28" s="59" t="inlineStr">
        <is>
          <t>6.1.7 g)</t>
        </is>
      </c>
      <c r="E28" s="58" t="inlineStr">
        <is>
          <t>Solo locadores</t>
        </is>
      </c>
      <c r="F28" s="60" t="inlineStr">
        <is>
          <t>-</t>
        </is>
      </c>
      <c r="G28" s="129" t="n"/>
      <c r="H28" s="89" t="n"/>
      <c r="I28" s="94" t="inlineStr">
        <is>
          <t>Num. 6.1.7 g): Solo para locadores.</t>
        </is>
      </c>
      <c r="J28" s="101" t="n"/>
    </row>
    <row r="29" ht="20.05" customHeight="1">
      <c r="A29" s="69" t="n">
        <v>20</v>
      </c>
      <c r="B29" s="62" t="inlineStr">
        <is>
          <t>Resolución de encargatura (si ausencia jefe UO)</t>
        </is>
      </c>
      <c r="C29" s="63" t="inlineStr">
        <is>
          <t>-</t>
        </is>
      </c>
      <c r="D29" s="64" t="inlineStr">
        <is>
          <t>6.4.9</t>
        </is>
      </c>
      <c r="E29" s="63" t="inlineStr">
        <is>
          <t>Si jefe ausente</t>
        </is>
      </c>
      <c r="F29" s="65" t="inlineStr">
        <is>
          <t>-</t>
        </is>
      </c>
      <c r="G29" s="130" t="n"/>
      <c r="H29" s="91" t="n"/>
      <c r="I29" s="102" t="inlineStr">
        <is>
          <t>Num. 6.4.9: Solo si jefe UO ausente.</t>
        </is>
      </c>
      <c r="J29" s="103" t="n"/>
    </row>
    <row r="30" ht="20.05" customHeight="1"/>
    <row r="31" ht="20.05" customHeight="1">
      <c r="A31" s="53" t="inlineStr">
        <is>
          <t>EXCEPCIONES Y NOTAS IMPORTANTES</t>
        </is>
      </c>
      <c r="B31" s="54" t="n"/>
      <c r="C31" s="54" t="n"/>
      <c r="D31" s="54" t="n"/>
      <c r="E31" s="54" t="n"/>
      <c r="F31" s="54" t="n"/>
      <c r="G31" s="54" t="n"/>
      <c r="H31" s="54" t="n"/>
    </row>
    <row r="32" ht="20.05" customHeight="1">
      <c r="A32" s="55" t="inlineStr">
        <is>
          <t>• Num. 8.3: OCI y Alta Dirección exceptuados de: Plan de Trabajo, Informe de Comisión, Alertas y Constancias.</t>
        </is>
      </c>
    </row>
    <row r="33" ht="20.05" customHeight="1">
      <c r="A33" s="55" t="inlineStr">
        <is>
          <t>• Num. 8.4: Jefes de Unidades de Organización exceptuados de presentar Constancias de Comisión (Anexo 10 y 11).</t>
        </is>
      </c>
    </row>
    <row r="34" ht="20.05" customHeight="1">
      <c r="A34" s="55" t="inlineStr">
        <is>
          <t>• Num. 6.4.7: DJ máximo 30% del viático otorgado. Solo aplica a viáticos, no a otros gastos. Num. 6.4.17 y 4.1.3.</t>
        </is>
      </c>
    </row>
    <row r="35" ht="20.05" customHeight="1">
      <c r="A35" s="55" t="inlineStr">
        <is>
          <t>• Num. 6.4.18: Topes DJ movilidad: Aeropuerto S/35/servicio, Terrapuerto S/25/servicio, Mov.Local Prov. S/30/día, Lima S/45/día.</t>
        </is>
      </c>
    </row>
    <row r="36" ht="20.05" customHeight="1"/>
    <row r="37" ht="20.05" customHeight="1"/>
    <row r="38" ht="20.05" customHeight="1">
      <c r="A38" s="9" t="n"/>
    </row>
    <row r="39" ht="20.0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32" customWidth="1" min="4" max="4"/>
    <col width="60" customWidth="1" min="5" max="5"/>
    <col width="36" customWidth="1" min="6" max="6"/>
    <col width="8" customWidth="1" min="7" max="7"/>
    <col width="14" customWidth="1" min="8" max="8"/>
  </cols>
  <sheetData>
    <row r="1" ht="28" customHeight="1">
      <c r="A1" s="313" t="inlineStr">
        <is>
          <t>OBSERVACIONES REALIZADAS — DOCUMENTOS QUE DEBEN SUBSANARSE PARA AUTORIZAR EL PAGO</t>
        </is>
      </c>
    </row>
    <row r="3" ht="28" customHeight="1">
      <c r="A3" s="314" t="inlineStr">
        <is>
          <t>N°</t>
        </is>
      </c>
      <c r="B3" s="314" t="inlineStr">
        <is>
          <t>DOCUMENTO / UBICACIÓN</t>
        </is>
      </c>
      <c r="C3" s="314" t="inlineStr">
        <is>
          <t>NUMERAL</t>
        </is>
      </c>
      <c r="D3" s="314" t="inlineStr">
        <is>
          <t>BASE LEGAL CITADA</t>
        </is>
      </c>
      <c r="E3" s="314" t="inlineStr">
        <is>
          <t>OBSERVACIÓN (qué subsanar)</t>
        </is>
      </c>
      <c r="F3" s="314" t="inlineStr">
        <is>
          <t>ARCHIVO PDF</t>
        </is>
      </c>
      <c r="G3" s="314" t="inlineStr">
        <is>
          <t>PÁG.</t>
        </is>
      </c>
      <c r="H3" s="314" t="inlineStr">
        <is>
          <t>GRAVEDAD</t>
        </is>
      </c>
    </row>
    <row r="4">
      <c r="A4" s="315" t="inlineStr">
        <is>
          <t>(escribir observaciones a continuación, una por fila; si no hay observaciones eliminar esta fila e indicar: NO HAY OBSERVACIONES)</t>
        </is>
      </c>
    </row>
  </sheetData>
  <mergeCells count="2">
    <mergeCell ref="A4:H4"/>
    <mergeCell ref="A1:H1"/>
  </mergeCells>
  <conditionalFormatting sqref="H4:H100">
    <cfRule type="cellIs" priority="1" operator="equal" dxfId="5" stopIfTrue="0">
      <formula>"POR SUBSANAR"</formula>
    </cfRule>
    <cfRule type="cellIs" priority="2" operator="equal" dxfId="7" stopIfTrue="0">
      <formula>"VERIFICACIÓN"</formula>
    </cfRule>
    <cfRule type="cellIs" priority="3" operator="equal" dxfId="8" stopIfTrue="0">
      <formula>"DEVOLUTIVO"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Skill control-previo-viaticos-v3</dc:creator>
  <dc:title xmlns:dc="http://purl.org/dc/elements/1.1/">Plantilla Control Previo Viáticos V3 (MINEDU)</dc:title>
  <dc:description xmlns:dc="http://purl.org/dc/elements/1.1/">Plantilla única — Directiva DI-003-01-MINEDU V03 (RSG 023-2026-MINEDU). 3 hojas. Solo formato. Reglas 20-26.</dc:description>
  <dc:language xmlns:dc="http://purl.org/dc/elements/1.1/">en-US</dc:language>
  <dcterms:created xmlns:dcterms="http://purl.org/dc/terms/" xmlns:xsi="http://www.w3.org/2001/XMLSchema-instance" xsi:type="dcterms:W3CDTF">2026-01-29T21:39:12Z</dcterms:created>
  <dcterms:modified xmlns:dcterms="http://purl.org/dc/terms/" xmlns:xsi="http://www.w3.org/2001/XMLSchema-instance" xsi:type="dcterms:W3CDTF">2026-05-20T21:00:29Z</dcterms:modified>
  <cp:lastModifiedBy>Hans C.</cp:lastModifiedBy>
  <cp:revision>0</cp:revision>
</cp:coreProperties>
</file>